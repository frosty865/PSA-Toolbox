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hidePivotFieldList="true"/>
  <sheets>
    <sheet name="Overview" sheetId="1" r:id="rId1"/>
    <sheet name="Asset Information" sheetId="2" r:id="rId2"/>
    <sheet name="Electric Power" sheetId="3" r:id="rId3"/>
    <sheet name="Communication" sheetId="4" r:id="rId4"/>
    <sheet name="Information Technology" sheetId="5" r:id="rId5"/>
    <sheet name="Critical Products" sheetId="6" r:id="rId6"/>
    <sheet name="Water" sheetId="7" r:id="rId7"/>
    <sheet name="Wastewater" sheetId="8" r:id="rId8"/>
    <sheet name="Formulas_Dont Delete" sheetId="9" r:id="rId9"/>
    <sheet name="Formulas_Dont Delete2" sheetId="10" r:id="rId10"/>
    <sheet name="DEPENDENCY_VOFC_LOCAL" sheetId="11" r:id="rId11"/>
  </sheets>
  <definedNames>
    <definedName name="_xleta.IF" hidden="1">#NAME?</definedName>
    <definedName name="_xleta.POWER" hidden="1">#NAME?</definedName>
  </definedNames>
</workbook>
</file>

<file path=xl/comments3.xml><?xml version="1.0" encoding="utf-8"?>
<comments xmlns="http://schemas.openxmlformats.org/spreadsheetml/2006/main">
  <authors>
    <author>WILLIAMS, ZACHARY</author>
  </authors>
  <commentList>
    <comment ref="D28" authorId="0">
      <text>
        <t>(For the use of the graph, convert everything to hours. Round down to the nearest whole hour. If less than one hour, input "Zero")</t>
      </text>
    </comment>
    <comment ref="D58" authorId="0">
      <text>
        <t xml:space="preserve">(round down to the nearest whole hour. If less than one hour, input "Zero")
</t>
      </text>
    </comment>
  </commentList>
</comments>
</file>

<file path=xl/comments4.xml><?xml version="1.0" encoding="utf-8"?>
<comments xmlns="http://schemas.openxmlformats.org/spreadsheetml/2006/main">
  <authors>
    <author>WILLIAMS, ZACHARY</author>
  </authors>
  <commentList>
    <comment ref="D28" authorId="0">
      <text>
        <t>(For the use of the graph, convert everything to hours. Round down to the nearest whole hour. If less than one hour, input "Zero")</t>
      </text>
    </comment>
    <comment ref="D55" authorId="0">
      <text>
        <t xml:space="preserve">(round down to the nearest whole hour. If less than one hour, input "Zero")
</t>
      </text>
    </comment>
  </commentList>
</comments>
</file>

<file path=xl/comments5.xml><?xml version="1.0" encoding="utf-8"?>
<comments xmlns="http://schemas.openxmlformats.org/spreadsheetml/2006/main">
  <authors>
    <author>WILLIAMS, ZACHARY</author>
  </authors>
  <commentList>
    <comment ref="D28" authorId="0">
      <text>
        <t>(For the use of the graph, convert everything to hours. Round down to the nearest whole hour. If less than one hour, input "Zero")</t>
      </text>
    </comment>
    <comment ref="D55" authorId="0">
      <text>
        <t xml:space="preserve">(round down to the nearest whole hour. If less than one hour, input "Zero")
</t>
      </text>
    </comment>
  </commentList>
</comments>
</file>

<file path=xl/comments6.xml><?xml version="1.0" encoding="utf-8"?>
<comments xmlns="http://schemas.openxmlformats.org/spreadsheetml/2006/main">
  <authors>
    <author>WILLIAMS, ZACHARY</author>
  </authors>
  <commentList>
    <comment ref="D28" authorId="0">
      <text>
        <t>(For the use of the graph, convert everything to hours. Round down to the nearest whole hour. If less than one hour, input "Zero")</t>
      </text>
    </comment>
  </commentList>
</comments>
</file>

<file path=xl/comments7.xml><?xml version="1.0" encoding="utf-8"?>
<comments xmlns="http://schemas.openxmlformats.org/spreadsheetml/2006/main">
  <authors>
    <author>WILLIAMS, ZACHARY</author>
    <author>Williams, Zachary</author>
  </authors>
  <commentList>
    <comment ref="D28" authorId="0">
      <text>
        <t>(For the use of the graph, convert everything to hours. Round down to the nearest whole hour. If less than one hour, input "Zero")</t>
      </text>
    </comment>
    <comment ref="H43" authorId="1">
      <text>
        <t>Backup might be something like a well on site, or warehouse of palleted water that could be used. If the facility has to procure water through their EMA or vendor then they do NOT have an alternative source of water. The duration is attempting to understand how long they can operate with that alternative before there are significant impacts to operational capacity</t>
      </text>
    </comment>
  </commentList>
</comments>
</file>

<file path=xl/comments8.xml><?xml version="1.0" encoding="utf-8"?>
<comments xmlns="http://schemas.openxmlformats.org/spreadsheetml/2006/main">
  <authors>
    <author>WILLIAMS, ZACHARY</author>
  </authors>
  <commentList>
    <comment ref="D28" authorId="0">
      <text>
        <t>(For the use of the graph, convert everything to hours. Round down to the nearest whole hour. If less than one hour, input "Zero")</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1">
    <numFmt numFmtId="56" formatCode="&quot;上午/下午 &quot;hh&quot;時&quot;mm&quot;分&quot;ss&quot;秒 &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mailto:zachary.williams@cisa.dhs.gov" TargetMode="Externa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dimension ref="A1:T101"/>
  <sheetViews>
    <sheetView workbookViewId="0" rightToLeft="0"/>
  </sheetViews>
  <sheetData>
    <row r="2">
      <c r="D2" t="str">
        <v xml:space="preserve">Asset Dependency Visualization </v>
      </c>
    </row>
    <row r="7">
      <c r="A7" t="str">
        <v>Asset Name: Synovus Center for Commerce &amp; Technology</v>
      </c>
    </row>
    <row r="11">
      <c r="B11" t="str">
        <v xml:space="preserve">Electric Power: </v>
      </c>
    </row>
    <row r="24">
      <c r="B24" t="str">
        <v>Communications:</v>
      </c>
    </row>
    <row r="37">
      <c r="B37" t="str">
        <v>Information Technology:</v>
      </c>
    </row>
    <row r="50">
      <c r="B50" t="str">
        <v>Critical Products</v>
      </c>
    </row>
    <row r="63">
      <c r="B63" t="str">
        <v>Water</v>
      </c>
    </row>
    <row r="76">
      <c r="B76" t="str">
        <v>WasteWater</v>
      </c>
    </row>
  </sheetData>
  <mergeCells count="14">
    <mergeCell ref="B77:R87"/>
    <mergeCell ref="B76:D76"/>
    <mergeCell ref="B50:D50"/>
    <mergeCell ref="D2:P4"/>
    <mergeCell ref="B11:D11"/>
    <mergeCell ref="B24:D24"/>
    <mergeCell ref="B37:D37"/>
    <mergeCell ref="A7:E9"/>
    <mergeCell ref="B63:D63"/>
    <mergeCell ref="B12:R22"/>
    <mergeCell ref="B25:R35"/>
    <mergeCell ref="B38:R48"/>
    <mergeCell ref="B51:R61"/>
    <mergeCell ref="B64:R74"/>
  </mergeCells>
  <pageMargins left="0.7" right="0.7" top="0.75" bottom="0.75" header="0.3" footer="0.3"/>
  <ignoredErrors>
    <ignoredError numberStoredAsText="1" sqref="A1:T101"/>
  </ignoredErrors>
</worksheet>
</file>

<file path=xl/worksheets/sheet2.xml><?xml version="1.0" encoding="utf-8"?>
<worksheet xmlns="http://schemas.openxmlformats.org/spreadsheetml/2006/main" xmlns:r="http://schemas.openxmlformats.org/officeDocument/2006/relationships">
  <dimension ref="A1:T53"/>
  <sheetViews>
    <sheetView workbookViewId="0" rightToLeft="0"/>
  </sheetViews>
  <sheetData>
    <row r="2">
      <c r="C2" t="str">
        <v xml:space="preserve">Asset Name: </v>
      </c>
      <c r="E2" t="str">
        <v>Synovus Center for Commerce &amp; Technology</v>
      </c>
      <c r="I2" t="str">
        <v xml:space="preserve">Visit Date: </v>
      </c>
      <c r="M2" t="str">
        <v>CISA POC:</v>
      </c>
      <c r="N2" t="str">
        <v>PSA Zach Williams | (202)941-1319</v>
      </c>
    </row>
    <row r="3">
      <c r="N3" t="str">
        <v>zachary.williams@cisa.dhs.gov</v>
      </c>
    </row>
    <row r="5">
      <c r="C5" t="str">
        <v>This dashboard allows owner/operators to visualize the dependency curves associated with their facility. This dashboard can be provided with other assessment products, or given as a standalone dependency analysis initative. The dependency chart(s) in this dashboard were generated for 72-hour external service outages. This time period was selected because it corresponds to the Federal Emergency Management Agency (FEMA) recommended preparedness duration for the general population and organizations in the event of an emergency resulting in the breakdown of major services.</v>
      </c>
    </row>
    <row r="11">
      <c r="C11" t="str">
        <v>How to inturept this data</v>
      </c>
    </row>
    <row r="39">
      <c r="C39" t="str">
        <v xml:space="preserve">Notes: </v>
      </c>
    </row>
    <row r="40">
      <c r="C40" t="str">
        <v>&lt;Power&gt; Primary Power source is from GA Power (substation unknown). Power provides onsite heat/hot water, core operations (including lighting, IT, telecom, etc.), and Security Operations (e.g., CCTV, scanners, sensors, etc.). Facility has BCP Contingency Plan with Georgia Power for priority restoration. Generators tested weekly under load with quarterly checks conducted on the functionality of the generator. Tested done by third party (Alexander Electric)</v>
      </c>
    </row>
    <row r="43">
      <c r="C43" t="str">
        <v>&lt;Communication&gt; Primary use ofommunication services are: Telephone and Data(Includes networking and Voice-over IP). Facility has a BCP Contingency Plan with providers for restoration.</v>
      </c>
    </row>
    <row r="45">
      <c r="C45" t="str">
        <v xml:space="preserve">&lt;Information Technology&gt; Facility utilizes both Internet and Internal IT. The IT provider/supplier is Peachnet. The Critical uses for IT is primairly for business network ( general business, administration functions for the university). Facility has a enterprise level cyber security plan and a cyber security assessment has never been completed for this facility. </v>
      </c>
    </row>
  </sheetData>
  <mergeCells count="12">
    <mergeCell ref="I2:J3"/>
    <mergeCell ref="K2:L3"/>
    <mergeCell ref="M2:M3"/>
    <mergeCell ref="N2:R2"/>
    <mergeCell ref="N3:R3"/>
    <mergeCell ref="E2:H3"/>
    <mergeCell ref="C11:R12"/>
    <mergeCell ref="C5:R9"/>
    <mergeCell ref="C2:D3"/>
    <mergeCell ref="C43:R44"/>
    <mergeCell ref="C45:R47"/>
    <mergeCell ref="C40:R42"/>
  </mergeCells>
  <hyperlinks>
    <hyperlink ref="N3" r:id="rId1"/>
  </hyperlinks>
  <pageMargins left="0.7" right="0.7" top="0.75" bottom="0.75" header="0.3" footer="0.3"/>
  <ignoredErrors>
    <ignoredError numberStoredAsText="1" sqref="A1:T53"/>
  </ignoredErrors>
</worksheet>
</file>

<file path=xl/worksheets/sheet3.xml><?xml version="1.0" encoding="utf-8"?>
<worksheet xmlns="http://schemas.openxmlformats.org/spreadsheetml/2006/main" xmlns:r="http://schemas.openxmlformats.org/officeDocument/2006/relationships">
  <dimension ref="A1:T65"/>
  <sheetViews>
    <sheetView workbookViewId="0" rightToLeft="0"/>
  </sheetViews>
  <sheetData>
    <row r="2">
      <c r="C2" t="str">
        <v>FOR OFFICAL USE ONLY</v>
      </c>
    </row>
    <row r="21">
      <c r="C21" t="str">
        <v>ELECTRIC POWER</v>
      </c>
    </row>
    <row r="24">
      <c r="C24" t="str">
        <v>Time Before Impact without backup</v>
      </c>
    </row>
    <row r="25">
      <c r="D25" t="str">
        <v xml:space="preserve">Does the asset require electrical power for its core operations? </v>
      </c>
      <c r="L25" t="str">
        <v>Yes</v>
      </c>
    </row>
    <row r="28">
      <c r="D28" t="str">
        <v xml:space="preserve">If electric supply is lost (without considering any backup or alternative mode), how soon would the facility be severely impacted? </v>
      </c>
      <c r="L28">
        <v>1</v>
      </c>
      <c r="M28" t="str">
        <v>Hours</v>
      </c>
    </row>
    <row r="32">
      <c r="D32" t="str">
        <v>Once electric supply is lost (without considering any backup or alternative mode), what percentage of normal business functions are lost or degraded? (percentage)</v>
      </c>
      <c r="L32">
        <v>0.9</v>
      </c>
    </row>
    <row r="38">
      <c r="C38" t="str">
        <v>% Impact without Backup and Duration of Backup</v>
      </c>
    </row>
    <row r="39">
      <c r="D39" t="str">
        <v>Is there analternative or backup that can be used in the case of loss of electric source?</v>
      </c>
      <c r="L39" t="str">
        <v>Yes</v>
      </c>
    </row>
    <row r="43">
      <c r="H43" t="str">
        <v>Is there a backup generator?</v>
      </c>
      <c r="L43" t="str">
        <v>Yes</v>
      </c>
    </row>
    <row r="46">
      <c r="H46" t="str">
        <v>Duration of backup generation without refueling (numerical value)</v>
      </c>
      <c r="L46">
        <v>96</v>
      </c>
      <c r="M46" t="str">
        <v>Hours</v>
      </c>
    </row>
    <row r="52">
      <c r="D52" t="str">
        <v>Once electric supply is lost (and considering your backup or alternative mode), what percentage of normal business functions are lost or degraded?</v>
      </c>
      <c r="L52">
        <v>0.34</v>
      </c>
    </row>
    <row r="55">
      <c r="J55">
        <v>96</v>
      </c>
    </row>
    <row r="58">
      <c r="D58" t="str">
        <v xml:space="preserve">Once external service is restored, how long would it take before full resumption of operations? </v>
      </c>
      <c r="L58">
        <v>1</v>
      </c>
      <c r="M58" t="str">
        <v>Hours</v>
      </c>
    </row>
  </sheetData>
  <mergeCells count="23">
    <mergeCell ref="L43:M44"/>
    <mergeCell ref="H46:J48"/>
    <mergeCell ref="D32:J34"/>
    <mergeCell ref="L32:M34"/>
    <mergeCell ref="C38:H38"/>
    <mergeCell ref="D39:J40"/>
    <mergeCell ref="L39:M40"/>
    <mergeCell ref="L46:L48"/>
    <mergeCell ref="M46:M48"/>
    <mergeCell ref="C2:R2"/>
    <mergeCell ref="L25:M25"/>
    <mergeCell ref="C24:H24"/>
    <mergeCell ref="L28:L29"/>
    <mergeCell ref="M28:M29"/>
    <mergeCell ref="C21:R21"/>
    <mergeCell ref="D28:J29"/>
    <mergeCell ref="D25:J25"/>
    <mergeCell ref="C4:R20"/>
    <mergeCell ref="D52:J54"/>
    <mergeCell ref="L52:M54"/>
    <mergeCell ref="D58:J60"/>
    <mergeCell ref="L58:L60"/>
    <mergeCell ref="M58:M60"/>
  </mergeCells>
  <pageMargins left="0.7" right="0.7" top="0.75" bottom="0.75" header="0.3" footer="0.3"/>
  <ignoredErrors>
    <ignoredError numberStoredAsText="1" sqref="A1:T65"/>
  </ignoredErrors>
  <legacyDrawing r:id="rId1"/>
</worksheet>
</file>

<file path=xl/worksheets/sheet4.xml><?xml version="1.0" encoding="utf-8"?>
<worksheet xmlns="http://schemas.openxmlformats.org/spreadsheetml/2006/main" xmlns:r="http://schemas.openxmlformats.org/officeDocument/2006/relationships">
  <dimension ref="A1:T62"/>
  <sheetViews>
    <sheetView workbookViewId="0" rightToLeft="0"/>
  </sheetViews>
  <sheetData>
    <row r="2">
      <c r="C2" t="str">
        <v>FOR OFFICAL USE ONLY</v>
      </c>
    </row>
    <row r="21">
      <c r="C21" t="str">
        <v>COMMUNICATION</v>
      </c>
    </row>
    <row r="24">
      <c r="C24" t="str">
        <v>Time Before Impact without backup</v>
      </c>
    </row>
    <row r="25">
      <c r="D25" t="str">
        <v xml:space="preserve">Does the asset require a communication nodes for its core operations? </v>
      </c>
      <c r="L25" t="str">
        <v>Yes</v>
      </c>
    </row>
    <row r="28">
      <c r="D28" t="str">
        <v>If external communication service is lost (without considering any backup or alternative mode), how soon would the facility be severely impacted?</v>
      </c>
      <c r="L28">
        <v>1</v>
      </c>
      <c r="M28" t="str">
        <v>Hours</v>
      </c>
    </row>
    <row r="32">
      <c r="D32" t="str">
        <v>Once the facility has lost external communication service mode (without considering any backup or alternative mode), what percentage of normal business functions are lost or degraded?</v>
      </c>
      <c r="L32">
        <v>1</v>
      </c>
    </row>
    <row r="38">
      <c r="C38" t="str">
        <v>% Impact without Backup and Duration of Backup</v>
      </c>
    </row>
    <row r="39">
      <c r="D39" t="str">
        <v>If primary mode of communication service is lost, is there a backup mode of communication?</v>
      </c>
      <c r="L39" t="str">
        <v>No</v>
      </c>
    </row>
    <row r="43">
      <c r="H43" t="str">
        <v>Duration the asset can utilize its backup  (numerical value)</v>
      </c>
      <c r="L43">
        <v>0</v>
      </c>
      <c r="M43" t="str">
        <v>Hours</v>
      </c>
    </row>
    <row r="49">
      <c r="D49" t="str">
        <v>Once the facility has lost external communication service mode (and your backup or alternative is implemented) what percentage of normal business functions are lost or degraded?</v>
      </c>
      <c r="L49">
        <v>0</v>
      </c>
    </row>
    <row r="55">
      <c r="D55" t="str">
        <v xml:space="preserve">Once external service is restored, how long would it take before full resumption of operations? </v>
      </c>
      <c r="L55">
        <v>1</v>
      </c>
      <c r="M55" t="str">
        <v>Hours</v>
      </c>
    </row>
  </sheetData>
  <mergeCells count="22">
    <mergeCell ref="D55:J57"/>
    <mergeCell ref="L55:L57"/>
    <mergeCell ref="M55:M57"/>
    <mergeCell ref="D32:J34"/>
    <mergeCell ref="L32:M34"/>
    <mergeCell ref="C38:H38"/>
    <mergeCell ref="D39:J40"/>
    <mergeCell ref="L39:M40"/>
    <mergeCell ref="D49:J51"/>
    <mergeCell ref="L49:M51"/>
    <mergeCell ref="H43:J45"/>
    <mergeCell ref="L43:L45"/>
    <mergeCell ref="M43:M45"/>
    <mergeCell ref="D28:J29"/>
    <mergeCell ref="L28:L29"/>
    <mergeCell ref="M28:M29"/>
    <mergeCell ref="C4:R20"/>
    <mergeCell ref="C2:R2"/>
    <mergeCell ref="C21:R21"/>
    <mergeCell ref="C24:H24"/>
    <mergeCell ref="D25:J25"/>
    <mergeCell ref="L25:M25"/>
  </mergeCells>
  <pageMargins left="0.7" right="0.7" top="0.75" bottom="0.75" header="0.3" footer="0.3"/>
  <ignoredErrors>
    <ignoredError numberStoredAsText="1" sqref="A1:T62"/>
  </ignoredErrors>
  <legacyDrawing r:id="rId1"/>
</worksheet>
</file>

<file path=xl/worksheets/sheet5.xml><?xml version="1.0" encoding="utf-8"?>
<worksheet xmlns="http://schemas.openxmlformats.org/spreadsheetml/2006/main" xmlns:r="http://schemas.openxmlformats.org/officeDocument/2006/relationships">
  <dimension ref="A1:T62"/>
  <sheetViews>
    <sheetView workbookViewId="0" rightToLeft="0"/>
  </sheetViews>
  <sheetData>
    <row r="2">
      <c r="C2" t="str">
        <v>FOR OFFICAL USE ONLY</v>
      </c>
    </row>
    <row r="21">
      <c r="C21" t="str">
        <v>Information Technology</v>
      </c>
    </row>
    <row r="24">
      <c r="C24" t="str">
        <v>Time Before Impact without backup</v>
      </c>
    </row>
    <row r="25">
      <c r="D25" t="str">
        <v>Is Information Technology required for Facility core operations (e.g., produce key services/goods)?</v>
      </c>
      <c r="L25" t="str">
        <v>Yes</v>
      </c>
    </row>
    <row r="28">
      <c r="D28" t="str">
        <v>If the information technology system is lost completely (and no backup is employed), within what time period would the facility be severely impacted?</v>
      </c>
      <c r="L28">
        <v>4</v>
      </c>
      <c r="M28" t="str">
        <v>Hours</v>
      </c>
    </row>
    <row r="32">
      <c r="D32" t="str">
        <v>What percentage of normal functions are lost or degraded if no backup mode is used?</v>
      </c>
      <c r="L32">
        <v>0.8</v>
      </c>
    </row>
    <row r="38">
      <c r="C38" t="str">
        <v>% Impact without Backup and Duration of Backup</v>
      </c>
    </row>
    <row r="39">
      <c r="D39" t="str">
        <v>If information technology service is lost, is there an alternative or backup mode?</v>
      </c>
      <c r="L39" t="str">
        <v>No</v>
      </c>
    </row>
    <row r="43">
      <c r="D43" t="str">
        <v>The amount of time the facility can operate the backup to Internet, such as a DSL connection. (If the facility can be fully operational continuously using this backup mode, then input 96 hours. For the data, round down to the nearest hour)</v>
      </c>
      <c r="L43">
        <v>4</v>
      </c>
      <c r="M43" t="str">
        <v>Hours</v>
      </c>
    </row>
    <row r="49">
      <c r="D49" t="str">
        <v>Once information technology  system is lost (and considering your backup or alternative mode), what percentage of normal business functions are lost or degraded?</v>
      </c>
      <c r="L49">
        <v>0</v>
      </c>
    </row>
    <row r="55">
      <c r="D55" t="str">
        <v xml:space="preserve">Once external service is restored, how long would it take before full resumption of operations? </v>
      </c>
      <c r="L55">
        <v>1</v>
      </c>
      <c r="M55" t="str">
        <v>Hours</v>
      </c>
    </row>
  </sheetData>
  <mergeCells count="22">
    <mergeCell ref="D55:J57"/>
    <mergeCell ref="L55:L57"/>
    <mergeCell ref="M55:M57"/>
    <mergeCell ref="M28:M29"/>
    <mergeCell ref="C4:R20"/>
    <mergeCell ref="D32:J34"/>
    <mergeCell ref="L32:M34"/>
    <mergeCell ref="D39:J40"/>
    <mergeCell ref="L39:M40"/>
    <mergeCell ref="D43:J46"/>
    <mergeCell ref="L43:L45"/>
    <mergeCell ref="M43:M45"/>
    <mergeCell ref="D49:J51"/>
    <mergeCell ref="L49:M51"/>
    <mergeCell ref="C2:R2"/>
    <mergeCell ref="C21:R21"/>
    <mergeCell ref="C24:H24"/>
    <mergeCell ref="L25:M25"/>
    <mergeCell ref="C38:H38"/>
    <mergeCell ref="D25:J26"/>
    <mergeCell ref="D28:J30"/>
    <mergeCell ref="L28:L29"/>
  </mergeCells>
  <pageMargins left="0.7" right="0.7" top="0.75" bottom="0.75" header="0.3" footer="0.3"/>
  <ignoredErrors>
    <ignoredError numberStoredAsText="1" sqref="A1:T62"/>
  </ignoredErrors>
  <legacyDrawing r:id="rId1"/>
</worksheet>
</file>

<file path=xl/worksheets/sheet6.xml><?xml version="1.0" encoding="utf-8"?>
<worksheet xmlns="http://schemas.openxmlformats.org/spreadsheetml/2006/main" xmlns:r="http://schemas.openxmlformats.org/officeDocument/2006/relationships">
  <dimension ref="A1:T58"/>
  <sheetViews>
    <sheetView workbookViewId="0" rightToLeft="0"/>
  </sheetViews>
  <sheetData>
    <row r="2">
      <c r="C2" t="str">
        <v>FOR OFFICAL USE ONLY</v>
      </c>
    </row>
    <row r="21">
      <c r="C21" t="str">
        <v>Critical Products</v>
      </c>
    </row>
    <row r="24">
      <c r="C24" t="str">
        <v>Time Before Impact without backup</v>
      </c>
    </row>
    <row r="25">
      <c r="D25" t="str">
        <v xml:space="preserve">Does the asset require a critical product for its core operations? </v>
      </c>
      <c r="L25" t="str">
        <v>No</v>
      </c>
    </row>
    <row r="28">
      <c r="D28" t="str">
        <v>If critical chemical source(s) is lost (without considering any backup or alternative mode), how soon would the facility be severely impacted (e.g., more than 50% reduction in facility operations)?</v>
      </c>
      <c r="L28">
        <v>0</v>
      </c>
      <c r="M28" t="str">
        <v>Hours</v>
      </c>
    </row>
    <row r="32">
      <c r="D32" t="str">
        <v>Once critical chemical source(s) is lost (without considering any backup or alternative mode), what percentage of normal business functions are lost or degraded?</v>
      </c>
      <c r="L32">
        <v>0</v>
      </c>
    </row>
    <row r="38">
      <c r="C38" t="str">
        <v>% Impact without Backup and Duration of Backup</v>
      </c>
    </row>
    <row r="39">
      <c r="D39" t="str">
        <v>Is there an alternate (e.g., onsite storage) to the source of chemicals?</v>
      </c>
    </row>
    <row r="43">
      <c r="H43" t="str">
        <v>Duration the asset can utilize its backup  (numerical value)</v>
      </c>
      <c r="L43">
        <v>0</v>
      </c>
      <c r="M43" t="str">
        <v>Hours</v>
      </c>
    </row>
    <row r="48">
      <c r="D48" t="str">
        <v>Once critical chemical source(s) is lost (and considering your backup or alternative mode (including the storage)), what percentage of normal business functions are lost or degraded?</v>
      </c>
      <c r="L48">
        <v>0</v>
      </c>
    </row>
    <row r="53">
      <c r="D53" t="str">
        <v xml:space="preserve">Once this critical product is available service is restored, how long would it take before full resumption of operations? </v>
      </c>
      <c r="L53">
        <v>0</v>
      </c>
      <c r="M53" t="str">
        <v>Hours</v>
      </c>
    </row>
  </sheetData>
  <mergeCells count="22">
    <mergeCell ref="C38:H38"/>
    <mergeCell ref="D39:J40"/>
    <mergeCell ref="L39:M40"/>
    <mergeCell ref="D28:J30"/>
    <mergeCell ref="L28:L29"/>
    <mergeCell ref="M28:M29"/>
    <mergeCell ref="C4:R20"/>
    <mergeCell ref="D32:J34"/>
    <mergeCell ref="L32:M34"/>
    <mergeCell ref="C2:R2"/>
    <mergeCell ref="C21:R21"/>
    <mergeCell ref="C24:H24"/>
    <mergeCell ref="D25:J25"/>
    <mergeCell ref="L25:M25"/>
    <mergeCell ref="H43:J45"/>
    <mergeCell ref="L43:L45"/>
    <mergeCell ref="M43:M45"/>
    <mergeCell ref="D48:J50"/>
    <mergeCell ref="D53:J55"/>
    <mergeCell ref="L48:M50"/>
    <mergeCell ref="L53:L55"/>
    <mergeCell ref="M53:M55"/>
  </mergeCells>
  <pageMargins left="0.7" right="0.7" top="0.75" bottom="0.75" header="0.3" footer="0.3"/>
  <ignoredErrors>
    <ignoredError numberStoredAsText="1" sqref="A1:T58"/>
  </ignoredErrors>
  <legacyDrawing r:id="rId1"/>
</worksheet>
</file>

<file path=xl/worksheets/sheet7.xml><?xml version="1.0" encoding="utf-8"?>
<worksheet xmlns="http://schemas.openxmlformats.org/spreadsheetml/2006/main" xmlns:r="http://schemas.openxmlformats.org/officeDocument/2006/relationships">
  <dimension ref="A1:T60"/>
  <sheetViews>
    <sheetView workbookViewId="0" rightToLeft="0"/>
  </sheetViews>
  <sheetData>
    <row r="2">
      <c r="C2" t="str">
        <v>FOR OFFICAL USE ONLY</v>
      </c>
    </row>
    <row r="21">
      <c r="C21" t="str">
        <v>Water</v>
      </c>
    </row>
    <row r="24">
      <c r="C24" t="str">
        <v>Time Before Impact without backup</v>
      </c>
    </row>
    <row r="25">
      <c r="D25" t="str">
        <v>Is external water required for the Facility Core Operations (Produce Key Services, Goods)?</v>
      </c>
      <c r="L25" t="str">
        <v>Yes</v>
      </c>
    </row>
    <row r="28">
      <c r="D28" t="str">
        <v xml:space="preserve">If the external water service is lost (without considering any backup or alternative mode), how soon would the facility be severely impacted: </v>
      </c>
      <c r="L28">
        <v>2</v>
      </c>
      <c r="M28" t="str">
        <v>Hours</v>
      </c>
    </row>
    <row r="32">
      <c r="D32" t="str">
        <v>Once external water service is lost (without considering any backup or alternative mode) what percentage of normal business functions are lost or degraded?</v>
      </c>
      <c r="L32">
        <v>0.45</v>
      </c>
    </row>
    <row r="38">
      <c r="C38" t="str">
        <v>% Impact without Backup and Duration of Backup</v>
      </c>
    </row>
    <row r="39" xml:space="preserve">
      <c r="D39" t="str" xml:space="preserve">
        <v xml:space="preserve">Is there an alternate to the external source of water?_x000d_
_x000d_
No</v>
      </c>
      <c r="L39" t="str">
        <v>No</v>
      </c>
    </row>
    <row r="43">
      <c r="H43" t="str">
        <v>Duration the asset can utilize its backup  (numerical value)</v>
      </c>
      <c r="L43">
        <v>0</v>
      </c>
      <c r="M43" t="str">
        <v>Hours</v>
      </c>
    </row>
    <row r="50">
      <c r="D50" t="str">
        <v>Once external water service is lost (and considering your backup or alternative mode) what percentage of normal business functions are lost or degraded?</v>
      </c>
      <c r="L50">
        <v>0</v>
      </c>
    </row>
    <row r="55">
      <c r="D55" t="str">
        <v xml:space="preserve">Once external service is restored, how long would it take before full resumption of operations? </v>
      </c>
      <c r="L55">
        <v>1</v>
      </c>
      <c r="M55" t="str">
        <v>Hours</v>
      </c>
    </row>
  </sheetData>
  <mergeCells count="22">
    <mergeCell ref="C38:H38"/>
    <mergeCell ref="M43:M45"/>
    <mergeCell ref="H43:J45"/>
    <mergeCell ref="L43:L45"/>
    <mergeCell ref="C2:R2"/>
    <mergeCell ref="C4:R20"/>
    <mergeCell ref="C21:R21"/>
    <mergeCell ref="C24:H24"/>
    <mergeCell ref="L25:M25"/>
    <mergeCell ref="D25:J26"/>
    <mergeCell ref="D28:J30"/>
    <mergeCell ref="L28:L29"/>
    <mergeCell ref="M28:M29"/>
    <mergeCell ref="D32:J34"/>
    <mergeCell ref="L32:M34"/>
    <mergeCell ref="D55:J57"/>
    <mergeCell ref="L55:L57"/>
    <mergeCell ref="M55:M57"/>
    <mergeCell ref="D39:J40"/>
    <mergeCell ref="L39:M40"/>
    <mergeCell ref="D50:J52"/>
    <mergeCell ref="L50:M52"/>
  </mergeCells>
  <pageMargins left="0.7" right="0.7" top="0.75" bottom="0.75" header="0.3" footer="0.3"/>
  <ignoredErrors>
    <ignoredError numberStoredAsText="1" sqref="A1:T60"/>
  </ignoredErrors>
  <legacyDrawing r:id="rId1"/>
</worksheet>
</file>

<file path=xl/worksheets/sheet8.xml><?xml version="1.0" encoding="utf-8"?>
<worksheet xmlns="http://schemas.openxmlformats.org/spreadsheetml/2006/main" xmlns:r="http://schemas.openxmlformats.org/officeDocument/2006/relationships">
  <dimension ref="A1:T58"/>
  <sheetViews>
    <sheetView workbookViewId="0" rightToLeft="0"/>
  </sheetViews>
  <sheetData>
    <row r="2">
      <c r="C2" t="str">
        <v>FOR OFFICAL USE ONLY</v>
      </c>
    </row>
    <row r="21">
      <c r="C21" t="str">
        <v>Wastewater</v>
      </c>
    </row>
    <row r="24">
      <c r="C24" t="str">
        <v>Time Before Impact without backup</v>
      </c>
    </row>
    <row r="25">
      <c r="D25" t="str">
        <v>Does the facility require external wastewater discharge services for Core Operations (Produce Key Services, Goods)?</v>
      </c>
      <c r="L25" t="str">
        <v>Yes</v>
      </c>
    </row>
    <row r="28">
      <c r="D28" t="str">
        <v>If the external wastewater service is lost (without considering any backup or alternative mode), how soon would the facility be severely impacted</v>
      </c>
      <c r="L28">
        <v>1</v>
      </c>
      <c r="M28" t="str">
        <v>Hours</v>
      </c>
    </row>
    <row r="32">
      <c r="D32" t="str">
        <v>Once external wastewater service is lost (without considering any backup or alternative) what percentage of normal business functions are lost or degraded?</v>
      </c>
      <c r="L32">
        <v>0.33</v>
      </c>
    </row>
    <row r="38">
      <c r="C38" t="str">
        <v>% Impact without Backup and Duration of Backup</v>
      </c>
    </row>
    <row r="39">
      <c r="D39" t="str">
        <v>Is there an alternate to the external wastewater discharge service?</v>
      </c>
      <c r="L39" t="str">
        <v>No</v>
      </c>
    </row>
    <row r="43">
      <c r="H43" t="str">
        <v>Duration the asset can utilize its backup  (numerical value)</v>
      </c>
      <c r="L43">
        <v>0</v>
      </c>
      <c r="M43" t="str">
        <v>Hours</v>
      </c>
    </row>
    <row r="48">
      <c r="D48" t="str">
        <v>Once external wastewater service is lost (and considering your backup or alternative mode) what percentage of normal business functions are lost or degraded?</v>
      </c>
      <c r="L48">
        <v>0</v>
      </c>
    </row>
    <row r="53">
      <c r="D53" t="str">
        <v xml:space="preserve">Once external service is restored, how long would it take before full resumption of operations? </v>
      </c>
      <c r="L53">
        <v>1</v>
      </c>
      <c r="M53" t="str">
        <v>Hours</v>
      </c>
    </row>
  </sheetData>
  <mergeCells count="22">
    <mergeCell ref="C38:H38"/>
    <mergeCell ref="C2:R2"/>
    <mergeCell ref="C4:R20"/>
    <mergeCell ref="C21:R21"/>
    <mergeCell ref="C24:H24"/>
    <mergeCell ref="L25:M25"/>
    <mergeCell ref="D28:J30"/>
    <mergeCell ref="D32:J34"/>
    <mergeCell ref="L32:M34"/>
    <mergeCell ref="D25:J26"/>
    <mergeCell ref="L28:L30"/>
    <mergeCell ref="M28:M30"/>
    <mergeCell ref="D53:J55"/>
    <mergeCell ref="L53:L55"/>
    <mergeCell ref="M53:M55"/>
    <mergeCell ref="D39:J40"/>
    <mergeCell ref="L39:M40"/>
    <mergeCell ref="D48:J50"/>
    <mergeCell ref="L48:M50"/>
    <mergeCell ref="H43:J45"/>
    <mergeCell ref="L43:L45"/>
    <mergeCell ref="M43:M45"/>
  </mergeCells>
  <pageMargins left="0.7" right="0.7" top="0.75" bottom="0.75" header="0.3" footer="0.3"/>
  <ignoredErrors>
    <ignoredError numberStoredAsText="1" sqref="A1:T58"/>
  </ignoredErrors>
  <legacyDrawing r:id="rId1"/>
</worksheet>
</file>

<file path=xl/worksheets/sheet9.xml><?xml version="1.0" encoding="utf-8"?>
<worksheet xmlns="http://schemas.openxmlformats.org/spreadsheetml/2006/main" xmlns:r="http://schemas.openxmlformats.org/officeDocument/2006/relationships">
  <dimension ref="A1:CK42"/>
  <sheetViews>
    <sheetView workbookViewId="0" rightToLeft="0"/>
  </sheetViews>
  <sheetData>
    <row r="1">
      <c r="AM1" t="str">
        <v>Don’t Delete This. Needed to calculate totals</v>
      </c>
    </row>
    <row r="2">
      <c r="AX2" t="str">
        <v>Yes</v>
      </c>
    </row>
    <row r="3">
      <c r="A3" t="str">
        <v>Electrical Power</v>
      </c>
      <c r="AX3" t="str">
        <v>No</v>
      </c>
    </row>
    <row r="4">
      <c r="C4" t="str">
        <v>Time (Hours)</v>
      </c>
      <c r="D4">
        <v>0</v>
      </c>
      <c r="E4">
        <v>3</v>
      </c>
      <c r="F4">
        <v>6</v>
      </c>
      <c r="G4">
        <v>9</v>
      </c>
      <c r="H4">
        <v>12</v>
      </c>
      <c r="I4">
        <v>15</v>
      </c>
      <c r="J4">
        <v>18</v>
      </c>
      <c r="K4">
        <v>21</v>
      </c>
      <c r="L4">
        <v>24</v>
      </c>
      <c r="M4">
        <v>27</v>
      </c>
      <c r="N4">
        <v>30</v>
      </c>
      <c r="O4">
        <v>33</v>
      </c>
      <c r="P4">
        <v>36</v>
      </c>
      <c r="Q4">
        <v>39</v>
      </c>
      <c r="R4">
        <v>42</v>
      </c>
      <c r="S4">
        <v>45</v>
      </c>
      <c r="T4">
        <v>48</v>
      </c>
      <c r="U4">
        <v>51</v>
      </c>
      <c r="V4">
        <v>54</v>
      </c>
      <c r="W4">
        <v>57</v>
      </c>
      <c r="X4">
        <v>60</v>
      </c>
      <c r="Y4">
        <v>63</v>
      </c>
      <c r="Z4">
        <v>66</v>
      </c>
      <c r="AA4">
        <v>69</v>
      </c>
      <c r="AB4">
        <v>72</v>
      </c>
      <c r="AC4">
        <v>75</v>
      </c>
      <c r="AD4">
        <v>78</v>
      </c>
      <c r="AE4">
        <v>81</v>
      </c>
      <c r="AF4">
        <v>84</v>
      </c>
      <c r="AG4">
        <v>87</v>
      </c>
      <c r="AH4">
        <v>90</v>
      </c>
      <c r="AI4">
        <v>93</v>
      </c>
      <c r="AJ4">
        <v>96</v>
      </c>
      <c r="AN4" t="str">
        <v>X=</v>
      </c>
      <c r="AO4">
        <f>100-$AQ$4</f>
        <v>10</v>
      </c>
      <c r="AQ4" cm="1">
        <f t="array" ref="AQ4:AR6">('Electric Power'!L32:M34)/100%*(100)</f>
        <v>90</v>
      </c>
      <c r="AR4">
        <v>0</v>
      </c>
      <c r="AT4" cm="1">
        <f t="array" ref="AT4:AU6">('Electric Power'!L52:M54)/100%*(100)</f>
        <v>34</v>
      </c>
      <c r="AU4">
        <v>0</v>
      </c>
      <c r="AW4" t="str">
        <v>Total hours of impacts to the facilty after external resumption</v>
      </c>
      <c r="CK4">
        <v>96</v>
      </c>
    </row>
    <row r="5">
      <c r="B5" t="str">
        <v>Without a Backup Generator</v>
      </c>
      <c r="D5">
        <v>100</v>
      </c>
      <c r="E5">
        <f>IF(OR(AND('Electric Power'!L28 &gt;= 1, 'Electric Power'!L28 &lt;= 3), D5 = AO4), AO4, 100)</f>
        <v>10</v>
      </c>
      <c r="F5">
        <f>IF(OR(AND('Electric Power'!L28 &gt;= 4, 'Electric Power'!L28 &lt;= 6), E5 = AO4), AO4, 100)</f>
        <v>10</v>
      </c>
      <c r="G5">
        <f>IF(OR(AND('Electric Power'!L28&gt;=7,'Electric Power'!L28&lt;=9),F5= AO4),AO4,100)</f>
        <v>10</v>
      </c>
      <c r="H5">
        <f>IF(OR(AND('Electric Power'!L28 &gt;= 10, 'Electric Power'!L28 &lt;= 12), G5 = AO4), AO4, 100)</f>
        <v>10</v>
      </c>
      <c r="I5">
        <f>IF(OR(AND('Electric Power'!L28 &gt;= 13, 'Electric Power'!L28 &lt;= 15), H5 = AO4), AO4, 100)</f>
        <v>10</v>
      </c>
      <c r="J5">
        <f>IF(OR(AND('Electric Power'!L28 &gt;= 16, 'Electric Power'!L28 &lt;= 18), I5 = AO4), AO4, 100)</f>
        <v>10</v>
      </c>
      <c r="K5">
        <f>IF(OR(AND('Electric Power'!L28 &gt;= 19, 'Electric Power'!L28 &lt;= 21), J5 = AO4), AO4, 100)</f>
        <v>10</v>
      </c>
      <c r="L5">
        <f>IF(OR(AND('Electric Power'!L28 &gt;= 22, 'Electric Power'!L28 &lt;= 24), K5 = AO4), AO4, 100)</f>
        <v>10</v>
      </c>
      <c r="M5">
        <f>IF(OR(AND('Electric Power'!L28 &gt;= 25, 'Electric Power'!L28 &lt;= 27), L5 = AO4), AO4, 100)</f>
        <v>10</v>
      </c>
      <c r="N5">
        <f>IF(OR(AND('Electric Power'!L28 &gt;= 28, 'Electric Power'!L28 &lt;= 30), M5 = AO4), AO4, 100)</f>
        <v>10</v>
      </c>
      <c r="O5">
        <f>IF(OR(AND('Electric Power'!L28 &gt;= 31, 'Electric Power'!L28 &lt;= 33), N5 = AO4), AO4, 100)</f>
        <v>10</v>
      </c>
      <c r="P5">
        <f>IF(OR(AND('Electric Power'!L28 &gt;= 34, 'Electric Power'!L28 &lt;= 36), O5 = AO4), AO4, 100)</f>
        <v>10</v>
      </c>
      <c r="Q5">
        <f>IF(OR(AND('Electric Power'!L28 &gt;= 37, 'Electric Power'!L28 &lt;= 39), P5 = AO4), AO4, 100)</f>
        <v>10</v>
      </c>
      <c r="R5">
        <f>IF(OR(AND('Electric Power'!L28 &gt;= 40, 'Electric Power'!L28 &lt;= 42), Q5 = AO4), AO4, 100)</f>
        <v>10</v>
      </c>
      <c r="S5">
        <f>IF(OR(AND('Electric Power'!L28 &gt;= 43, 'Electric Power'!L28 &lt;= 45), R5 = AO4), AO4, 100)</f>
        <v>10</v>
      </c>
      <c r="T5">
        <f>IF(OR(AND('Electric Power'!L28 &gt;= 46, 'Electric Power'!L28 &lt;= 48), S5 = AO4), AO4, 100)</f>
        <v>10</v>
      </c>
      <c r="U5">
        <f>IF(OR(AND('Electric Power'!L28 &gt;= 49, 'Electric Power'!L28 &lt;= 51), T5 = AO4), AO4, 100)</f>
        <v>10</v>
      </c>
      <c r="V5">
        <f>IF(OR(AND('Electric Power'!L28 &gt;= 52, 'Electric Power'!L28 &lt;= 54), U5 = AO4), AO4, 100)</f>
        <v>10</v>
      </c>
      <c r="W5">
        <f>IF(OR(AND('Electric Power'!L28&gt;=55,'Electric Power'!L28&lt;=57),V5=AO4),AO4,100)</f>
        <v>10</v>
      </c>
      <c r="X5">
        <f>IF(OR(AND('Electric Power'!L28 &gt;= 58, 'Electric Power'!L28 &lt;= 60), W5 = AO4), AO4, 100)</f>
        <v>10</v>
      </c>
      <c r="Y5">
        <f>IF(OR(AND('Electric Power'!L28 &gt;= 61, 'Electric Power'!L28 &lt;= 63), X5 = AO4), AO4, 100)</f>
        <v>10</v>
      </c>
      <c r="Z5">
        <f>IF(OR(AND('Electric Power'!L28 &gt;= 64, 'Electric Power'!L28 &lt;= 66), Y5 = AO4), AO4, 100)</f>
        <v>10</v>
      </c>
      <c r="AA5">
        <f>IF(OR(AND('Electric Power'!L28 &gt;= 67, 'Electric Power'!L28 &lt;= 69), Z5 = AO4), AO4, 100)</f>
        <v>10</v>
      </c>
      <c r="AB5">
        <f>IF(OR(AND('Electric Power'!L28 &gt;= 68, 'Electric Power'!L28 &lt;= 72), Z5 = AO4), AO4, 100)</f>
        <v>10</v>
      </c>
      <c r="AC5">
        <f>IF($AZ$6 &gt; AC$4, $AO$4, 100)</f>
        <v>100</v>
      </c>
      <c r="AD5">
        <f>IF($AZ$6 &gt; AD$4, $AO$4, 100)</f>
        <v>100</v>
      </c>
      <c r="AE5">
        <f>IF($AZ$6 &gt; AE$4, $AO$4, 100)</f>
        <v>100</v>
      </c>
      <c r="AF5">
        <f>IF($AZ$6 &gt; AF$4, $AO$4, 100)</f>
        <v>100</v>
      </c>
      <c r="AG5">
        <f>IF($AZ$6 &gt; AG$4, $AO$4, 100)</f>
        <v>100</v>
      </c>
      <c r="AH5">
        <f>IF($AZ$6 &gt; AH$4, $AO$4, 100)</f>
        <v>100</v>
      </c>
      <c r="AI5">
        <f>IF($AZ$6 &gt; AI$4, $AO$4, 100)</f>
        <v>100</v>
      </c>
      <c r="AJ5">
        <f>IF($AZ$6 &gt; AJ$4, $AO$4, 100)</f>
        <v>100</v>
      </c>
      <c r="AN5" t="str">
        <v>Y=</v>
      </c>
      <c r="AO5">
        <f>100-$AT$4</f>
        <v>66</v>
      </c>
      <c r="AQ5">
        <v>0</v>
      </c>
      <c r="AR5">
        <v>0</v>
      </c>
      <c r="AT5">
        <v>0</v>
      </c>
      <c r="AU5">
        <v>0</v>
      </c>
      <c r="CK5">
        <v>100</v>
      </c>
    </row>
    <row r="6">
      <c r="B6" t="str">
        <v>With a Backup Generator</v>
      </c>
      <c r="D6">
        <v>100</v>
      </c>
      <c r="E6">
        <f>IF('Electric Power'!$L$46 &gt; E4, $AO$5, $AO$4)</f>
        <v>66</v>
      </c>
      <c r="F6">
        <f>IF('Electric Power'!$L$46 &gt; F4, $AO$5, $AO$4)</f>
        <v>66</v>
      </c>
      <c r="G6">
        <f>IF('Electric Power'!$L$46 &gt; G4, $AO$5, $AO$4)</f>
        <v>66</v>
      </c>
      <c r="H6">
        <f>IF('Electric Power'!$L$46 &gt; H4, $AO$5, $AO$4)</f>
        <v>66</v>
      </c>
      <c r="I6">
        <f>IF('Electric Power'!$L$46 &gt; I4, $AO$5, $AO$4)</f>
        <v>66</v>
      </c>
      <c r="J6">
        <f>IF('Electric Power'!$L$46 &gt; J4, $AO$5, $AO$4)</f>
        <v>66</v>
      </c>
      <c r="K6">
        <f>IF('Electric Power'!$L$46 &gt; K4, $AO$5, $AO$4)</f>
        <v>66</v>
      </c>
      <c r="L6">
        <f>IF('Electric Power'!$L$46 &gt; L4, $AO$5, $AO$4)</f>
        <v>66</v>
      </c>
      <c r="M6">
        <f>IF('Electric Power'!$L$46 &gt; M4, $AO$5, $AO$4)</f>
        <v>66</v>
      </c>
      <c r="N6">
        <f>IF('Electric Power'!$L$46 &gt; N4, $AO$5, $AO$4)</f>
        <v>66</v>
      </c>
      <c r="O6">
        <f>IF('Electric Power'!$L$46 &gt; O4, $AO$5, $AO$4)</f>
        <v>66</v>
      </c>
      <c r="P6">
        <f>IF('Electric Power'!$L$46 &gt; P4, $AO$5, $AO$4)</f>
        <v>66</v>
      </c>
      <c r="Q6">
        <f>IF('Electric Power'!$L$46 &gt; Q4, $AO$5, $AO$4)</f>
        <v>66</v>
      </c>
      <c r="R6">
        <f>IF('Electric Power'!$L$46 &gt; R4, $AO$5, $AO$4)</f>
        <v>66</v>
      </c>
      <c r="S6">
        <f>IF('Electric Power'!$L$46 &gt; S4, $AO$5, $AO$4)</f>
        <v>66</v>
      </c>
      <c r="T6">
        <f>IF('Electric Power'!$L$46 &gt; T4, $AO$5, $AO$4)</f>
        <v>66</v>
      </c>
      <c r="U6">
        <f>IF('Electric Power'!$L$46 &gt; U4, $AO$5, $AO$4)</f>
        <v>66</v>
      </c>
      <c r="V6">
        <f>IF('Electric Power'!$L$46 &gt; V4, $AO$5, $AO$4)</f>
        <v>66</v>
      </c>
      <c r="W6">
        <f>IF('Electric Power'!$L$46 &gt; W4, $AO$5, $AO$4)</f>
        <v>66</v>
      </c>
      <c r="X6">
        <f>IF('Electric Power'!$L$46 &gt; X4, $AO$5, $AO$4)</f>
        <v>66</v>
      </c>
      <c r="Y6">
        <f>IF('Electric Power'!$L$46 &gt; Y4, $AO$5, $AO$4)</f>
        <v>66</v>
      </c>
      <c r="Z6">
        <f>IF('Electric Power'!$L$46 &gt; Z4, $AO$5, $AO$4)</f>
        <v>66</v>
      </c>
      <c r="AA6">
        <f>IF('Electric Power'!$L$46 &gt; AA4, $AO$5, $AO$4)</f>
        <v>66</v>
      </c>
      <c r="AB6">
        <f>IF('Electric Power'!$L$46 &gt; AB4, $AO$5, $AO$4)</f>
        <v>66</v>
      </c>
      <c r="AC6">
        <f>IF($AZ$6 &gt; AC$4, $AO$4, 100)</f>
        <v>100</v>
      </c>
      <c r="AD6">
        <f>IF($AZ$6 &gt; AD$4, $AO$4, 100)</f>
        <v>100</v>
      </c>
      <c r="AE6">
        <f>IF($AZ$6 &gt; AE$4, $AO$4, 100)</f>
        <v>100</v>
      </c>
      <c r="AF6">
        <f>IF($AZ$6 &gt; AF$4, $AO$4, 100)</f>
        <v>100</v>
      </c>
      <c r="AG6">
        <f>IF($AZ$6 &gt; AG$4, $AO$4, 100)</f>
        <v>100</v>
      </c>
      <c r="AH6">
        <f>IF($AZ$6 &gt; AH$4, $AO$4, 100)</f>
        <v>100</v>
      </c>
      <c r="AI6">
        <f>IF($AZ$6 &gt; AI$4, $AO$4, 100)</f>
        <v>100</v>
      </c>
      <c r="AJ6">
        <f>IF($AZ$6 &gt; AJ$4, $AO$4, 100)</f>
        <v>100</v>
      </c>
      <c r="AQ6">
        <v>0</v>
      </c>
      <c r="AR6">
        <v>0</v>
      </c>
      <c r="AT6">
        <v>0</v>
      </c>
      <c r="AU6">
        <v>0</v>
      </c>
      <c r="AY6" t="str">
        <v>=</v>
      </c>
      <c r="AZ6">
        <f>IF('Electric Power'!L58 &gt; 1, 'Electric Power'!L58 + 72, 72)</f>
        <v>72</v>
      </c>
      <c r="CK6">
        <v>100</v>
      </c>
    </row>
    <row r="10">
      <c r="A10" t="str">
        <v>Water</v>
      </c>
    </row>
    <row r="11">
      <c r="C11" t="str">
        <v>Time (Hours)</v>
      </c>
      <c r="D11">
        <v>0</v>
      </c>
      <c r="E11">
        <v>3</v>
      </c>
      <c r="F11">
        <v>6</v>
      </c>
      <c r="G11">
        <v>9</v>
      </c>
      <c r="H11">
        <v>12</v>
      </c>
      <c r="I11">
        <v>15</v>
      </c>
      <c r="J11">
        <v>18</v>
      </c>
      <c r="K11">
        <v>21</v>
      </c>
      <c r="L11">
        <v>24</v>
      </c>
      <c r="M11">
        <v>27</v>
      </c>
      <c r="N11">
        <v>30</v>
      </c>
      <c r="O11">
        <v>33</v>
      </c>
      <c r="P11">
        <v>36</v>
      </c>
      <c r="Q11">
        <v>39</v>
      </c>
      <c r="R11">
        <v>42</v>
      </c>
      <c r="S11">
        <v>45</v>
      </c>
      <c r="T11">
        <v>48</v>
      </c>
      <c r="U11">
        <v>51</v>
      </c>
      <c r="V11">
        <v>54</v>
      </c>
      <c r="W11">
        <v>57</v>
      </c>
      <c r="X11">
        <v>60</v>
      </c>
      <c r="Y11">
        <v>63</v>
      </c>
      <c r="Z11">
        <v>66</v>
      </c>
      <c r="AA11">
        <v>69</v>
      </c>
      <c r="AB11">
        <v>72</v>
      </c>
      <c r="AC11">
        <v>75</v>
      </c>
      <c r="AD11">
        <v>78</v>
      </c>
      <c r="AE11">
        <v>81</v>
      </c>
      <c r="AF11">
        <v>84</v>
      </c>
      <c r="AG11">
        <v>87</v>
      </c>
      <c r="AH11">
        <v>90</v>
      </c>
      <c r="AI11">
        <v>93</v>
      </c>
      <c r="AJ11">
        <v>96</v>
      </c>
      <c r="AN11" t="str">
        <v>X=</v>
      </c>
      <c r="AO11">
        <f>100-AQ11</f>
        <v>55</v>
      </c>
      <c r="AQ11" cm="1">
        <f t="array" ref="AQ11:AR13">(Water!L32:M34)/100%*(100)</f>
        <v>45</v>
      </c>
      <c r="AR11">
        <v>0</v>
      </c>
      <c r="AT11" cm="1">
        <f t="array" ref="AT11:AU13">(Water!L50:M52)/100%*(100)</f>
        <v>0</v>
      </c>
      <c r="AU11">
        <v>0</v>
      </c>
      <c r="AW11" t="str">
        <v>Total hours of impacts to the facilty after external resumption</v>
      </c>
    </row>
    <row r="12">
      <c r="B12" t="str">
        <v>Without a Backup</v>
      </c>
      <c r="D12">
        <v>100</v>
      </c>
      <c r="E12">
        <f>IF(OR(AND(Water!L28 &gt;= 1, Water!K28 &lt;= 3), D12 = AO11), AO11, 100)</f>
        <v>55</v>
      </c>
      <c r="F12">
        <f>IF(OR(AND(Water!L28 &gt;= 4, Water!L28 &lt;= 6), E12 = AO11), AO11, 100)</f>
        <v>55</v>
      </c>
      <c r="G12">
        <f>IF(OR(AND(Water!L28&gt;=7, Water!L28&lt;=9),F12= AO11),AO11,100)</f>
        <v>55</v>
      </c>
      <c r="H12">
        <f>IF(OR(AND(Water!L28 &gt;= 10, Water!L28 &lt;= 12), G12 = AO11), AO11, 100)</f>
        <v>55</v>
      </c>
      <c r="I12">
        <f>IF(OR(AND(Water!L28 &gt;= 13, Water!L28 &lt;= 15), H12 = AO11), AO11, 100)</f>
        <v>55</v>
      </c>
      <c r="J12">
        <f>IF(OR(AND(Water!L28 &gt;= 16, Water!L28 &lt;= 18), I12 = AO11), AO11, 100)</f>
        <v>55</v>
      </c>
      <c r="K12">
        <f>IF(OR(AND(Water!L28 &gt;= 19, Water!L28 &lt;= 21), J12 = AO11), AO11, 100)</f>
        <v>55</v>
      </c>
      <c r="L12">
        <f>IF(OR(AND(Water!L28 &gt;= 22, Water!L28 &lt;= 24), K12 = AO11), AO11, 100)</f>
        <v>55</v>
      </c>
      <c r="M12">
        <f>IF(OR(AND(Water!L28 &gt;= 25, Water!L28 &lt;= 27), L12 = AO11), AO11, 100)</f>
        <v>55</v>
      </c>
      <c r="N12">
        <f>IF(OR(AND(Water!L28 &gt;= 28, Water!L28 &lt;= 30), M12 = AO11), AO11, 100)</f>
        <v>55</v>
      </c>
      <c r="O12">
        <f>IF(OR(AND(Water!L28 &gt;= 31, Water!L28 &lt;= 33), N12 = AO11), AO11, 100)</f>
        <v>55</v>
      </c>
      <c r="P12">
        <f>IF(OR(AND(Water!L28 &gt;= 34, Water!L28 &lt;= 36), O12 = AO11), AO11, 100)</f>
        <v>55</v>
      </c>
      <c r="Q12">
        <f>IF(OR(AND(Water!L28 &gt;= 37, Water!L28 &lt;= 39), P12 = AO11), AO11, 100)</f>
        <v>55</v>
      </c>
      <c r="R12">
        <f>IF(OR(AND(Water!L28 &gt;= 40, Water!L28 &lt;= 42), Q12 = AO11), AO11, 100)</f>
        <v>55</v>
      </c>
      <c r="S12">
        <f>IF(OR(AND(Water!L28 &gt;= 43, Water!L28 &lt;= 45), R12 = AO11), AO11, 100)</f>
        <v>55</v>
      </c>
      <c r="T12">
        <f>IF(OR(AND(Water!L28 &gt;= 46, Water!L28 &lt;= 48), S12 = AO11), AO11, 100)</f>
        <v>55</v>
      </c>
      <c r="U12">
        <f>IF(OR(AND(Water!L28 &gt;= 49, Water!L28 &lt;= 51), T12 = AO11), AO11, 100)</f>
        <v>55</v>
      </c>
      <c r="V12">
        <f>IF(OR(AND(Water!L28 &gt;= 52, Water!L28 &lt;= 54), U12 = AO11), AO11, 100)</f>
        <v>55</v>
      </c>
      <c r="W12">
        <f>IF(OR(AND(Water!L28&gt;=55,Water!L28&lt;=57),V12=AO11),AO11,100)</f>
        <v>55</v>
      </c>
      <c r="X12">
        <f>IF(OR(AND(Water!L28 &gt;= 58, Water!L28 &lt;= 60), W12 = AO11), AO11, 100)</f>
        <v>55</v>
      </c>
      <c r="Y12">
        <f>IF(OR(AND(Water!L28 &gt;= 61, Water!L28 &lt;= 63), X12 = AO11), AO11, 100)</f>
        <v>55</v>
      </c>
      <c r="Z12">
        <f>IF(OR(AND(Water!L28 &gt;= 64, Water!L28 &lt;= 66), Y12 = AO11), AO11, 100)</f>
        <v>55</v>
      </c>
      <c r="AA12">
        <f>IF(OR(AND(Water!L28 &gt;= 67, Water!L28 &lt;= 69), Z12 = AO11), AO11, 100)</f>
        <v>55</v>
      </c>
      <c r="AB12">
        <f>IF(AZ13 &gt; AB$11, $AO$11, 100)</f>
        <v>100</v>
      </c>
      <c r="AC12">
        <f>IF(AZ13 &gt; AC$11, $AO$11, 100)</f>
        <v>100</v>
      </c>
      <c r="AD12">
        <f>IF(AZ13 &gt; AD$11, $AO$11, 100)</f>
        <v>100</v>
      </c>
      <c r="AE12">
        <f>IF(BA13 &gt; AE$11, $AO$11, 100)</f>
        <v>100</v>
      </c>
      <c r="AF12">
        <f>IF(BB13 &gt; AF$11, $AO$11, 100)</f>
        <v>100</v>
      </c>
      <c r="AG12">
        <f>IF(BC13 &gt; AG$11, $AO$11, 100)</f>
        <v>100</v>
      </c>
      <c r="AH12">
        <f>IF(BD13 &gt; AH$11, $AO$11, 100)</f>
        <v>100</v>
      </c>
      <c r="AI12">
        <f>IF(BE13 &gt; AI$11, $AO$11, 100)</f>
        <v>100</v>
      </c>
      <c r="AJ12">
        <f>IF(BF13 &gt; AJ$11, $AO$11, 100)</f>
        <v>100</v>
      </c>
      <c r="AN12" t="str">
        <v>Y=</v>
      </c>
      <c r="AO12">
        <f>100-AT11</f>
        <v>100</v>
      </c>
      <c r="AQ12">
        <v>0</v>
      </c>
      <c r="AR12">
        <v>0</v>
      </c>
      <c r="AT12">
        <v>0</v>
      </c>
      <c r="AU12">
        <v>0</v>
      </c>
    </row>
    <row r="13">
      <c r="B13" t="str">
        <v xml:space="preserve">With a Backup </v>
      </c>
      <c r="D13">
        <v>100</v>
      </c>
      <c r="E13">
        <f>IF(Water!$L$43 &gt; E11, $AO$12, $AO$11)</f>
        <v>55</v>
      </c>
      <c r="F13">
        <f>IF(Water!$L$43 &gt; F11, $AO$12, $AO$11)</f>
        <v>55</v>
      </c>
      <c r="G13">
        <f>IF(Water!$L$43 &gt; G11, $AO$12, $AO$11)</f>
        <v>55</v>
      </c>
      <c r="H13">
        <f>IF(Water!$L$43 &gt; H11, $AO$12, $AO$11)</f>
        <v>55</v>
      </c>
      <c r="I13">
        <f>IF(Water!$L$43 &gt; I11, $AO$12, $AO$11)</f>
        <v>55</v>
      </c>
      <c r="J13">
        <f>IF(Water!$L$43 &gt; J11, $AO$12, $AO$11)</f>
        <v>55</v>
      </c>
      <c r="K13">
        <f>IF(Water!$L$43 &gt; K11, $AO$12, $AO$11)</f>
        <v>55</v>
      </c>
      <c r="L13">
        <f>IF(Water!$L$43 &gt; L11, $AO$12, $AO$11)</f>
        <v>55</v>
      </c>
      <c r="M13">
        <f>IF(Water!$L$43 &gt; M11, $AO$12, $AO$11)</f>
        <v>55</v>
      </c>
      <c r="N13">
        <f>IF(Water!$L$43 &gt; N11, $AO$12, $AO$11)</f>
        <v>55</v>
      </c>
      <c r="O13">
        <f>IF(Water!$L$43 &gt; O11, $AO$12, $AO$11)</f>
        <v>55</v>
      </c>
      <c r="P13">
        <f>IF(Water!$L$43 &gt; P11, $AO$12, $AO$11)</f>
        <v>55</v>
      </c>
      <c r="Q13">
        <f>IF(Water!$L$43 &gt; Q11, $AO$12, $AO$11)</f>
        <v>55</v>
      </c>
      <c r="R13">
        <f>IF(Water!$L$43 &gt; R11, $AO$12, $AO$11)</f>
        <v>55</v>
      </c>
      <c r="S13">
        <f>IF(Water!$L$43 &gt; S11, $AO$12, $AO$11)</f>
        <v>55</v>
      </c>
      <c r="T13">
        <f>IF(Water!$L$43 &gt; T11, $AO$12, $AO$11)</f>
        <v>55</v>
      </c>
      <c r="U13">
        <f>IF(Water!$L$43 &gt; U11, $AO$12, $AO$11)</f>
        <v>55</v>
      </c>
      <c r="V13">
        <f>IF(Water!$L$43 &gt; V11, $AO$12, $AO$11)</f>
        <v>55</v>
      </c>
      <c r="W13">
        <f>IF(Water!$L$43 &gt; W11, $AO$12, $AO$11)</f>
        <v>55</v>
      </c>
      <c r="X13">
        <f>IF(Water!$L$43 &gt; X11, $AO$12, $AO$11)</f>
        <v>55</v>
      </c>
      <c r="Y13">
        <f>IF(Water!$L$43 &gt; Y11, $AO$12, $AO$11)</f>
        <v>55</v>
      </c>
      <c r="Z13">
        <f>IF(Water!$L$43 &gt; Z11, $AO$12, $AO$11)</f>
        <v>55</v>
      </c>
      <c r="AA13">
        <f>IF(Water!$L$43 &gt; AA11, $AO$12, $AO$11)</f>
        <v>55</v>
      </c>
      <c r="AB13">
        <f>IF(AZ13 &gt; AB$11, $AO$11, 100)</f>
        <v>100</v>
      </c>
      <c r="AC13">
        <f>IF(AZ13 &gt; AC$11, $AO$11, 100)</f>
        <v>100</v>
      </c>
      <c r="AD13">
        <f>IF($AZ$13 &gt; AD$11, $AO$11, 100)</f>
        <v>100</v>
      </c>
      <c r="AE13">
        <f>IF($AZ$13 &gt; AE$11, $AO$11, 100)</f>
        <v>100</v>
      </c>
      <c r="AF13">
        <f>IF($AZ$13 &gt; AF$11, $AO$11, 100)</f>
        <v>100</v>
      </c>
      <c r="AG13">
        <f>IF($AZ$13 &gt; AG$11, $AO$11, 100)</f>
        <v>100</v>
      </c>
      <c r="AH13">
        <f>IF($AZ$13 &gt; AH$11, $AO$11, 100)</f>
        <v>100</v>
      </c>
      <c r="AI13">
        <f>IF($AZ$13 &gt; AI$11, $AO$11, 100)</f>
        <v>100</v>
      </c>
      <c r="AJ13">
        <v>100</v>
      </c>
      <c r="AQ13">
        <v>0</v>
      </c>
      <c r="AR13">
        <v>0</v>
      </c>
      <c r="AT13">
        <v>0</v>
      </c>
      <c r="AU13">
        <v>0</v>
      </c>
      <c r="AY13" t="str">
        <v>=</v>
      </c>
      <c r="AZ13">
        <f>IF(Water!L55 &gt; 1, Water!L55 + 72, 72)</f>
        <v>72</v>
      </c>
    </row>
    <row r="17">
      <c r="A17" t="str">
        <v>Waste Water</v>
      </c>
    </row>
    <row r="18">
      <c r="C18" t="str">
        <v>Time (Hours)</v>
      </c>
      <c r="D18">
        <v>0</v>
      </c>
      <c r="E18">
        <v>3</v>
      </c>
      <c r="F18">
        <v>6</v>
      </c>
      <c r="G18">
        <v>9</v>
      </c>
      <c r="H18">
        <v>12</v>
      </c>
      <c r="I18">
        <v>15</v>
      </c>
      <c r="J18">
        <v>18</v>
      </c>
      <c r="K18">
        <v>21</v>
      </c>
      <c r="L18">
        <v>24</v>
      </c>
      <c r="M18">
        <v>27</v>
      </c>
      <c r="N18">
        <v>30</v>
      </c>
      <c r="O18">
        <v>33</v>
      </c>
      <c r="P18">
        <v>36</v>
      </c>
      <c r="Q18">
        <v>39</v>
      </c>
      <c r="R18">
        <v>42</v>
      </c>
      <c r="S18">
        <v>45</v>
      </c>
      <c r="T18">
        <v>48</v>
      </c>
      <c r="U18">
        <v>51</v>
      </c>
      <c r="V18">
        <v>54</v>
      </c>
      <c r="W18">
        <v>57</v>
      </c>
      <c r="X18">
        <v>60</v>
      </c>
      <c r="Y18">
        <v>63</v>
      </c>
      <c r="Z18">
        <v>66</v>
      </c>
      <c r="AA18">
        <v>69</v>
      </c>
      <c r="AB18">
        <v>72</v>
      </c>
      <c r="AC18">
        <v>75</v>
      </c>
      <c r="AD18">
        <v>78</v>
      </c>
      <c r="AE18">
        <v>81</v>
      </c>
      <c r="AF18">
        <v>84</v>
      </c>
      <c r="AG18">
        <v>87</v>
      </c>
      <c r="AH18">
        <v>90</v>
      </c>
      <c r="AI18">
        <v>93</v>
      </c>
      <c r="AJ18">
        <v>96</v>
      </c>
      <c r="AN18" t="str">
        <v>X=</v>
      </c>
      <c r="AO18">
        <f>100-AQ18</f>
        <v>67</v>
      </c>
      <c r="AQ18" cm="1">
        <f t="array" ref="AQ18:AR20">(Wastewater!L32:M34)/100%*(100)</f>
        <v>33</v>
      </c>
      <c r="AR18">
        <v>0</v>
      </c>
      <c r="AT18" cm="1">
        <f t="array" ref="AT18:AU20">(Wastewater!L48:M50)/100%*(100)</f>
        <v>0</v>
      </c>
      <c r="AU18">
        <v>0</v>
      </c>
      <c r="AW18" t="str">
        <v>Total hours of impacts to the facilty after external resumption</v>
      </c>
    </row>
    <row r="19">
      <c r="B19" t="str">
        <v xml:space="preserve">Without a Backup </v>
      </c>
      <c r="D19">
        <v>100</v>
      </c>
      <c r="E19">
        <f>IF(OR(AND(Wastewater!L28 &gt;= 1, Wastewater!L28 &lt;= 3), D19 = AO18), AO18, 100)</f>
        <v>67</v>
      </c>
      <c r="F19">
        <f>IF(OR(AND(Wastewater!L28 &gt;= 4, Wastewater!L28 &lt;= 6), E19 = AO18), AO18, 100)</f>
        <v>67</v>
      </c>
      <c r="G19">
        <f>IF(OR(AND(Wastewater!L28&gt;=7, Wastewater!L28&lt;=9),F19= AO18),AO18,100)</f>
        <v>67</v>
      </c>
      <c r="H19">
        <f>IF(OR(AND(Wastewater!L28 &gt;= 10, Wastewater!L28 &lt;= 12), G19 = AO18), AO18, 100)</f>
        <v>67</v>
      </c>
      <c r="I19">
        <f>IF(OR(AND(Wastewater!L28 &gt;= 13, Wastewater!L28 &lt;= 15), H19 = AO18), AO18, 100)</f>
        <v>67</v>
      </c>
      <c r="J19">
        <f>IF(OR(AND(Wastewater!L28 &gt;= 16, Wastewater!L28 &lt;= 18), I19 = AO18), AO18, 100)</f>
        <v>67</v>
      </c>
      <c r="K19">
        <f>IF(OR(AND(Wastewater!L28 &gt;= 19, Wastewater!L28 &lt;= 21), J19 = AO18), AO18, 100)</f>
        <v>67</v>
      </c>
      <c r="L19">
        <f>IF(OR(AND(Wastewater!L28 &gt;= 22, Wastewater!L28 &lt;= 24), K19 = AO18), AO18, 100)</f>
        <v>67</v>
      </c>
      <c r="M19">
        <f>IF(OR(AND(Wastewater!L28 &gt;= 25, Wastewater!L28 &lt;= 27), L19 = AO18), AO18, 100)</f>
        <v>67</v>
      </c>
      <c r="N19">
        <f>IF(OR(AND(Wastewater!L28 &gt;= 28, Wastewater!L28 &lt;= 30), M19 = AO18), AO18, 100)</f>
        <v>67</v>
      </c>
      <c r="O19">
        <f>IF(OR(AND(Wastewater!L28 &gt;= 31, Wastewater!L28 &lt;= 33), N19 = AO18), AO18, 100)</f>
        <v>67</v>
      </c>
      <c r="P19">
        <f>IF(OR(AND(Wastewater!L28 &gt;= 34, Wastewater!L28 &lt;= 36), O19 = AO18), AO18, 100)</f>
        <v>67</v>
      </c>
      <c r="Q19">
        <f>IF(OR(AND(Wastewater!L28 &gt;= 37, Wastewater!L28 &lt;= 39), P19 = AO18), AO18, 100)</f>
        <v>67</v>
      </c>
      <c r="R19">
        <f>IF(OR(AND(Wastewater!L28 &gt;= 40, Wastewater!L28 &lt;= 42), Q19 = AO18), AO18, 100)</f>
        <v>67</v>
      </c>
      <c r="S19">
        <f>IF(OR(AND(Wastewater!L28 &gt;= 43, Wastewater!L28 &lt;= 45), R19 = AO18), AO18, 100)</f>
        <v>67</v>
      </c>
      <c r="T19">
        <f>IF(OR(AND(Wastewater!L28 &gt;= 46, Wastewater!L28 &lt;= 48), S19 = AO18), AO18, 100)</f>
        <v>67</v>
      </c>
      <c r="U19">
        <f>IF(OR(AND(Wastewater!L28 &gt;= 49, Wastewater!L28 &lt;= 51), T19 = AO18), AO18, 100)</f>
        <v>67</v>
      </c>
      <c r="V19">
        <f>IF(OR(AND(Wastewater!L28 &gt;= 52, Wastewater!L28 &lt;= 54), U19 = AO18), AO18, 100)</f>
        <v>67</v>
      </c>
      <c r="W19">
        <f>IF(OR(AND(Wastewater!L28&gt;=55,Wastewater!L28&lt;=57),V19=AO18),AO18,100)</f>
        <v>67</v>
      </c>
      <c r="X19">
        <f>IF(OR(AND(Wastewater!L28 &gt;= 58, Wastewater!L28 &lt;= 60), W19 = AO18), AO18, 100)</f>
        <v>67</v>
      </c>
      <c r="Y19">
        <f>IF(OR(AND(Wastewater!L28 &gt;= 61, Wastewater!L28 &lt;= 63), X19 = AO18), AO18, 100)</f>
        <v>67</v>
      </c>
      <c r="Z19">
        <f>IF(OR(AND(Wastewater!L28 &gt;= 64, Wastewater!L28 &lt;= 66), Y19 = AO18), AO18, 100)</f>
        <v>67</v>
      </c>
      <c r="AA19">
        <f>IF(OR(AND(Wastewater!L28 &gt;= 67, Wastewater!L28 &lt;= 69), Z19 = AO18), AO18, 100)</f>
        <v>67</v>
      </c>
      <c r="AB19">
        <f>IF($AZ$20 &gt; AB$18, $AO$18, 100)</f>
        <v>100</v>
      </c>
      <c r="AC19">
        <f>IF($AZ$20 &gt; AC$18, $AO$18, 100)</f>
        <v>100</v>
      </c>
      <c r="AD19">
        <f>IF($AZ$20 &gt; AD$18, $AO$18, 100)</f>
        <v>100</v>
      </c>
      <c r="AE19">
        <f>IF($AZ$20 &gt; AE$18, $AO$18, 100)</f>
        <v>100</v>
      </c>
      <c r="AF19">
        <f>IF($AZ$20 &gt; AF$18, $AO$18, 100)</f>
        <v>100</v>
      </c>
      <c r="AG19">
        <f>IF($AZ$20 &gt; AG$18, $AO$18, 100)</f>
        <v>100</v>
      </c>
      <c r="AH19">
        <f>IF($AZ$20 &gt; AH$18, $AO$18, 100)</f>
        <v>100</v>
      </c>
      <c r="AI19">
        <f>IF($AZ$20 &gt; AI$18, $AO$18, 100)</f>
        <v>100</v>
      </c>
      <c r="AJ19">
        <f>IF($AZ$20 &gt; AJ$18, $AO$18, 100)</f>
        <v>100</v>
      </c>
      <c r="AN19" t="str">
        <v>Y=</v>
      </c>
      <c r="AO19">
        <f>100-AT18</f>
        <v>100</v>
      </c>
      <c r="AQ19">
        <v>0</v>
      </c>
      <c r="AR19">
        <v>0</v>
      </c>
      <c r="AT19">
        <v>0</v>
      </c>
      <c r="AU19">
        <v>0</v>
      </c>
    </row>
    <row r="20">
      <c r="B20" t="str">
        <v xml:space="preserve">With a Backup </v>
      </c>
      <c r="D20">
        <v>100</v>
      </c>
      <c r="E20">
        <f>IF(Wastewater!$L$43 &gt; E18, $AO$19, $AO$18)</f>
        <v>67</v>
      </c>
      <c r="F20">
        <f>IF(Wastewater!$L$43 &gt; F18, $AO$19, $AO$18)</f>
        <v>67</v>
      </c>
      <c r="G20">
        <f>IF(Wastewater!$L$43 &gt; G18, $AO$19, $AO$18)</f>
        <v>67</v>
      </c>
      <c r="H20">
        <f>IF(Wastewater!$L$43 &gt; H18, $AO$19, $AO$18)</f>
        <v>67</v>
      </c>
      <c r="I20">
        <f>IF(Wastewater!$L$43 &gt; I18, $AO$19, $AO$18)</f>
        <v>67</v>
      </c>
      <c r="J20">
        <f>IF(Wastewater!$L$43 &gt; J18, $AO$19, $AO$18)</f>
        <v>67</v>
      </c>
      <c r="K20">
        <f>IF(Wastewater!$L$43 &gt; K18, $AO$19, $AO$18)</f>
        <v>67</v>
      </c>
      <c r="L20">
        <f>IF(Wastewater!$L$43 &gt; L18, $AO$19, $AO$18)</f>
        <v>67</v>
      </c>
      <c r="M20">
        <f>IF(Wastewater!$L$43 &gt; M18, $AO$19, $AO$18)</f>
        <v>67</v>
      </c>
      <c r="N20">
        <f>IF(Wastewater!$L$43 &gt; N18, $AO$19, $AO$18)</f>
        <v>67</v>
      </c>
      <c r="O20">
        <f>IF(Wastewater!$L$43 &gt; O18, $AO$19, $AO$18)</f>
        <v>67</v>
      </c>
      <c r="P20">
        <f>IF(Wastewater!$L$43 &gt; P18, $AO$19, $AO$18)</f>
        <v>67</v>
      </c>
      <c r="Q20">
        <f>IF(Wastewater!$L$43 &gt; Q18, $AO$19, $AO$18)</f>
        <v>67</v>
      </c>
      <c r="R20">
        <f>IF(Wastewater!$L$43 &gt; R18, $AO$19, $AO$18)</f>
        <v>67</v>
      </c>
      <c r="S20">
        <f>IF(Wastewater!$L$43 &gt; S18, $AO$19, $AO$18)</f>
        <v>67</v>
      </c>
      <c r="T20">
        <f>IF(Wastewater!$L$43 &gt; T18, $AO$19, $AO$18)</f>
        <v>67</v>
      </c>
      <c r="U20">
        <f>IF(Wastewater!$L$43 &gt; U18, $AO$19, $AO$18)</f>
        <v>67</v>
      </c>
      <c r="V20">
        <f>IF(Wastewater!$L$43 &gt; V18, $AO$19, $AO$18)</f>
        <v>67</v>
      </c>
      <c r="W20">
        <f>IF(Wastewater!$L$43 &gt; W18, $AO$19, $AO$18)</f>
        <v>67</v>
      </c>
      <c r="X20">
        <f>IF(Wastewater!$L$43 &gt; X18, $AO$19, $AO$18)</f>
        <v>67</v>
      </c>
      <c r="Y20">
        <f>IF(Wastewater!$L$43 &gt; Y18, $AO$19, $AO$18)</f>
        <v>67</v>
      </c>
      <c r="Z20">
        <f>IF(Wastewater!$L$43 &gt; Z18, $AO$19, $AO$18)</f>
        <v>67</v>
      </c>
      <c r="AA20">
        <f>IF(Wastewater!$L$43 &gt; AA18, $AO$19, $AO$18)</f>
        <v>67</v>
      </c>
      <c r="AB20">
        <f>IF($AZ$20 &gt; AB$18, $AO$18, 100)</f>
        <v>100</v>
      </c>
      <c r="AC20">
        <f>IF($AZ$20 &gt; AC$18, $AO$18, 100)</f>
        <v>100</v>
      </c>
      <c r="AD20">
        <f>IF($AZ$20 &gt; AD$18, $AO$18, 100)</f>
        <v>100</v>
      </c>
      <c r="AE20">
        <f>IF($AZ$20 &gt; AE$18, $AO$18, 100)</f>
        <v>100</v>
      </c>
      <c r="AF20">
        <f>IF($AZ$20 &gt; AF$18, $AO$18, 100)</f>
        <v>100</v>
      </c>
      <c r="AG20">
        <f>IF($AZ$20 &gt; AG$18, $AO$18, 100)</f>
        <v>100</v>
      </c>
      <c r="AH20">
        <f>IF($AZ$20 &gt; AH$18, $AO$18, 100)</f>
        <v>100</v>
      </c>
      <c r="AI20">
        <f>IF($AZ$20 &gt; AI$18, $AO$18, 100)</f>
        <v>100</v>
      </c>
      <c r="AJ20">
        <f>IF($AZ$20 &gt; AJ$18, $AO$18, 100)</f>
        <v>100</v>
      </c>
      <c r="AQ20">
        <v>0</v>
      </c>
      <c r="AR20">
        <v>0</v>
      </c>
      <c r="AT20">
        <v>0</v>
      </c>
      <c r="AU20">
        <v>0</v>
      </c>
      <c r="AY20" t="str">
        <v>=</v>
      </c>
      <c r="AZ20">
        <f>IF(Wastewater!L53 &gt; 1, Wastewater!L53 + 72, 72)</f>
        <v>72</v>
      </c>
    </row>
    <row r="24">
      <c r="A24" t="str">
        <v>Data/IT</v>
      </c>
    </row>
    <row r="25">
      <c r="C25" t="str">
        <v>Time (Hours)</v>
      </c>
      <c r="D25">
        <v>0</v>
      </c>
      <c r="E25">
        <v>3</v>
      </c>
      <c r="F25">
        <v>6</v>
      </c>
      <c r="G25">
        <v>9</v>
      </c>
      <c r="H25">
        <v>12</v>
      </c>
      <c r="I25">
        <v>15</v>
      </c>
      <c r="J25">
        <v>18</v>
      </c>
      <c r="K25">
        <v>21</v>
      </c>
      <c r="L25">
        <v>24</v>
      </c>
      <c r="M25">
        <v>27</v>
      </c>
      <c r="N25">
        <v>30</v>
      </c>
      <c r="O25">
        <v>33</v>
      </c>
      <c r="P25">
        <v>36</v>
      </c>
      <c r="Q25">
        <v>39</v>
      </c>
      <c r="R25">
        <v>42</v>
      </c>
      <c r="S25">
        <v>45</v>
      </c>
      <c r="T25">
        <v>48</v>
      </c>
      <c r="U25">
        <v>51</v>
      </c>
      <c r="V25">
        <v>54</v>
      </c>
      <c r="W25">
        <v>57</v>
      </c>
      <c r="X25">
        <v>60</v>
      </c>
      <c r="Y25">
        <v>63</v>
      </c>
      <c r="Z25">
        <v>66</v>
      </c>
      <c r="AA25">
        <v>69</v>
      </c>
      <c r="AB25">
        <v>72</v>
      </c>
      <c r="AC25">
        <v>75</v>
      </c>
      <c r="AD25">
        <v>78</v>
      </c>
      <c r="AE25">
        <v>81</v>
      </c>
      <c r="AF25">
        <v>84</v>
      </c>
      <c r="AG25">
        <v>87</v>
      </c>
      <c r="AH25">
        <v>90</v>
      </c>
      <c r="AI25">
        <v>93</v>
      </c>
      <c r="AJ25">
        <v>96</v>
      </c>
      <c r="AN25" t="str">
        <v>X=</v>
      </c>
      <c r="AO25">
        <f>100-AQ25</f>
        <v>20</v>
      </c>
      <c r="AQ25" cm="1">
        <f t="array" ref="AQ25:AR27">('Information Technology'!L32:M34)/100%*(100)</f>
        <v>80</v>
      </c>
      <c r="AR25">
        <v>0</v>
      </c>
      <c r="AT25" cm="1">
        <f t="array" ref="AT25:AU27">('Information Technology'!L49:M51)/100%*(100)</f>
        <v>0</v>
      </c>
      <c r="AU25">
        <v>0</v>
      </c>
      <c r="AW25" t="str">
        <v>Total hours of impacts to the facilty after external resumption</v>
      </c>
    </row>
    <row r="26">
      <c r="B26" t="str">
        <v xml:space="preserve">Without a Backup </v>
      </c>
      <c r="D26">
        <v>100</v>
      </c>
      <c r="E26">
        <f>IF(OR(AND('Information Technology'!L28 &gt;= 1, 'Information Technology'!L28 &lt;= 3), D26 = AO25), AO25, 100)</f>
        <v>100</v>
      </c>
      <c r="F26">
        <f>IF(OR(AND('Information Technology'!$L$28 &gt;= 4, 'Information Technology'!$L$28 &lt;= 6), E26 = AO25), AO25, 100)</f>
        <v>20</v>
      </c>
      <c r="G26">
        <f>IF(OR(AND('Information Technology'!$L$28&gt;=7, 'Information Technology'!$L$28&lt;=9),F26= AO25),AO25,100)</f>
        <v>20</v>
      </c>
      <c r="H26">
        <f>IF(OR(AND('Information Technology'!$L$28 &gt;= 10, 'Information Technology'!$L$28 &lt;= 12), G26 = AO25), AO25, 100)</f>
        <v>20</v>
      </c>
      <c r="I26">
        <f>IF(OR(AND('Information Technology'!$L$28 &gt;= 13, 'Information Technology'!$L$28 &lt;= 15), H26 = AO25), AO25, 100)</f>
        <v>20</v>
      </c>
      <c r="J26">
        <f>IF(OR(AND('Information Technology'!$L$28 &gt;= 16, 'Information Technology'!$L$28 &lt;= 18), I26 = AO25), AO25, 100)</f>
        <v>20</v>
      </c>
      <c r="K26">
        <f>IF(OR(AND('Information Technology'!$L$28 &gt;= 19, 'Information Technology'!$L$28 &lt;= 21), J26 = AO25), AO25, 100)</f>
        <v>20</v>
      </c>
      <c r="L26">
        <f>IF(OR(AND('Information Technology'!$L$28 &gt;= 22, 'Information Technology'!$L$28 &lt;= 24), K26 = AO25), AO25, 100)</f>
        <v>20</v>
      </c>
      <c r="M26">
        <f>IF(OR(AND('Information Technology'!$L$28 &gt;= 25, 'Information Technology'!$L$28 &lt;= 27), L26 = AO25), AO25, 100)</f>
        <v>20</v>
      </c>
      <c r="N26">
        <f>IF(OR(AND('Information Technology'!$L$28 &gt;= 28, 'Information Technology'!$L$28 &lt;= 30), M26 = AO25), AO25, 100)</f>
        <v>20</v>
      </c>
      <c r="O26">
        <f>IF(OR(AND('Information Technology'!$L$28 &gt;= 31, 'Information Technology'!$L$28 &lt;= 33), N26 = AO25), AO25, 100)</f>
        <v>20</v>
      </c>
      <c r="P26">
        <f>IF(OR(AND('Information Technology'!$L$28 &gt;= 34, 'Information Technology'!$L$28 &lt;= 36), O26 = AO25), AO25, 100)</f>
        <v>20</v>
      </c>
      <c r="Q26">
        <f>IF(OR(AND('Information Technology'!$L$28 &gt;= 37, 'Information Technology'!$L$28 &lt;= 39), P26 = AO25), AO25, 100)</f>
        <v>20</v>
      </c>
      <c r="R26">
        <f>IF(OR(AND('Information Technology'!$L$28 &gt;= 40, 'Information Technology'!$L$28 &lt;= 42), Q26 = AO25), AO25, 100)</f>
        <v>20</v>
      </c>
      <c r="S26">
        <f>IF(OR(AND('Information Technology'!$L$28 &gt;= 43, 'Information Technology'!$L$28 &lt;= 45), R26 = AO25), AO25, 100)</f>
        <v>20</v>
      </c>
      <c r="T26">
        <f>IF(OR(AND('Information Technology'!$L$28 &gt;= 46, 'Information Technology'!$L$28 &lt;= 48), S26 = AO25), AO25, 100)</f>
        <v>20</v>
      </c>
      <c r="U26">
        <f>IF(OR(AND('Information Technology'!$L$28 &gt;= 49, 'Information Technology'!$L$28 &lt;= 51), T26 = AO25), AO25, 100)</f>
        <v>20</v>
      </c>
      <c r="V26">
        <f>IF(OR(AND('Information Technology'!$L$28 &gt;= 52, 'Information Technology'!$L$28 &lt;= 54), U26 = AO25), AO25, 100)</f>
        <v>20</v>
      </c>
      <c r="W26">
        <f>IF(OR(AND('Information Technology'!$L$28 &gt;=55,'Information Technology'!$L$28&lt;=57),V26=AO25),AO25,100)</f>
        <v>20</v>
      </c>
      <c r="X26">
        <f>IF(OR(AND('Information Technology'!$L$28 &gt;= 58, 'Information Technology'!$L$28 &lt;= 60), W26 = AO25), AO25, 100)</f>
        <v>20</v>
      </c>
      <c r="Y26">
        <f>IF(OR(AND('Information Technology'!$L$28 &gt;= 61, 'Information Technology'!$L$28 &lt;= 63), X26 = AO25), AO25, 100)</f>
        <v>20</v>
      </c>
      <c r="Z26">
        <f>IF(OR(AND('Information Technology'!$L$28 &gt;= 64, 'Information Technology'!$L$28 &lt;= 66), Y26 = AO25), AO25, 100)</f>
        <v>20</v>
      </c>
      <c r="AA26">
        <f>IF(OR(AND('Information Technology'!$L$28 &gt;= 67, 'Information Technology'!$L$28 &lt;= 69), Z26 = AO25), AO25, 100)</f>
        <v>20</v>
      </c>
      <c r="AB26">
        <f>IF($AZ$27 &gt; AB$25, $AO$25, 100)</f>
        <v>100</v>
      </c>
      <c r="AC26">
        <f>IF($AZ$27 &gt; AC$25, $AO$25, 100)</f>
        <v>100</v>
      </c>
      <c r="AD26">
        <f>IF($AZ$27 &gt; AD$25, $AO$25, 100)</f>
        <v>100</v>
      </c>
      <c r="AE26">
        <f>IF($AZ$27 &gt; AE$25, $AO$25, 100)</f>
        <v>100</v>
      </c>
      <c r="AF26">
        <f>IF($AZ$27 &gt; AF$25, $AO$25, 100)</f>
        <v>100</v>
      </c>
      <c r="AG26">
        <f>IF($AZ$27 &gt; AG$25, $AO$25, 100)</f>
        <v>100</v>
      </c>
      <c r="AH26">
        <f>IF($AZ$27 &gt; AH$25, $AO$25, 100)</f>
        <v>100</v>
      </c>
      <c r="AI26">
        <f>IF($AZ$27 &gt; AI$25, $AO$25, 100)</f>
        <v>100</v>
      </c>
      <c r="AJ26">
        <f>IF($AZ$27 &gt; AJ$25, $AO$25, 100)</f>
        <v>100</v>
      </c>
      <c r="AN26" t="str">
        <v>Y=</v>
      </c>
      <c r="AO26">
        <f>100-AT25</f>
        <v>100</v>
      </c>
      <c r="AQ26">
        <v>0</v>
      </c>
      <c r="AR26">
        <v>0</v>
      </c>
      <c r="AT26">
        <v>0</v>
      </c>
      <c r="AU26">
        <v>0</v>
      </c>
    </row>
    <row r="27">
      <c r="B27" t="str">
        <v xml:space="preserve">With a Backup </v>
      </c>
      <c r="D27">
        <v>100</v>
      </c>
      <c r="E27">
        <f>IF('Information Technology'!L43 &gt; E25, $AO$26, $AO$25)</f>
        <v>100</v>
      </c>
      <c r="F27">
        <f>IF('Information Technology'!$L$43 &gt; F25, $AO$26, $AO$25)</f>
        <v>20</v>
      </c>
      <c r="G27">
        <f>IF('Information Technology'!$L$43 &gt; G25, $AO$26, $AO$25)</f>
        <v>20</v>
      </c>
      <c r="H27">
        <f>IF('Information Technology'!$L$43 &gt; H25, $AO$26, $AO$25)</f>
        <v>20</v>
      </c>
      <c r="I27">
        <f>IF('Information Technology'!$L$43 &gt; I25, $AO$26, $AO$25)</f>
        <v>20</v>
      </c>
      <c r="J27">
        <f>IF('Information Technology'!$L$43 &gt; J25, $AO$26, $AO$25)</f>
        <v>20</v>
      </c>
      <c r="K27">
        <f>IF('Information Technology'!$L$43 &gt; K25, $AO$26, $AO$25)</f>
        <v>20</v>
      </c>
      <c r="L27">
        <f>IF('Information Technology'!$L$43 &gt; L25, $AO$26, $AO$25)</f>
        <v>20</v>
      </c>
      <c r="M27">
        <f>IF('Information Technology'!$L$43 &gt; M25, $AO$26, $AO$25)</f>
        <v>20</v>
      </c>
      <c r="N27">
        <f>IF('Information Technology'!$L$43 &gt; N25, $AO$26, $AO$25)</f>
        <v>20</v>
      </c>
      <c r="O27">
        <f>IF('Information Technology'!$L$43 &gt; O25, $AO$26, $AO$25)</f>
        <v>20</v>
      </c>
      <c r="P27">
        <f>IF('Information Technology'!$L$43 &gt; P25, $AO$26, $AO$25)</f>
        <v>20</v>
      </c>
      <c r="Q27">
        <f>IF('Information Technology'!$L$43 &gt; Q25, $AO$26, $AO$25)</f>
        <v>20</v>
      </c>
      <c r="R27">
        <f>IF('Information Technology'!$L$43 &gt; R25, $AO$26, $AO$25)</f>
        <v>20</v>
      </c>
      <c r="S27">
        <f>IF('Information Technology'!$L$43 &gt; S25, $AO$26, $AO$25)</f>
        <v>20</v>
      </c>
      <c r="T27">
        <f>IF('Information Technology'!$L$43 &gt; T25, $AO$26, $AO$25)</f>
        <v>20</v>
      </c>
      <c r="U27">
        <f>IF('Information Technology'!$L$43 &gt; U25, $AO$26, $AO$25)</f>
        <v>20</v>
      </c>
      <c r="V27">
        <f>IF('Information Technology'!$L$43 &gt; V25, $AO$26, $AO$25)</f>
        <v>20</v>
      </c>
      <c r="W27">
        <f>IF('Information Technology'!$L$43 &gt; W25, $AO$26, $AO$25)</f>
        <v>20</v>
      </c>
      <c r="X27">
        <f>IF('Information Technology'!$L$43 &gt; X25, $AO$26, $AO$25)</f>
        <v>20</v>
      </c>
      <c r="Y27">
        <f>IF('Information Technology'!$L$43 &gt; Y25, $AO$26, $AO$25)</f>
        <v>20</v>
      </c>
      <c r="Z27">
        <f>IF('Information Technology'!$L$43 &gt; Z25, $AO$26, $AO$25)</f>
        <v>20</v>
      </c>
      <c r="AA27">
        <f>IF('Information Technology'!$L$43 &gt; AA25, $AO$26, $AO$25)</f>
        <v>20</v>
      </c>
      <c r="AB27">
        <f>IF($AZ$27 &gt; AB$25, $AO$25, 100)</f>
        <v>100</v>
      </c>
      <c r="AC27">
        <f>IF($AZ$27 &gt; AC$25, $AO$25, 100)</f>
        <v>100</v>
      </c>
      <c r="AD27">
        <f>IF($AZ$27 &gt; AD$25, $AO$25, 100)</f>
        <v>100</v>
      </c>
      <c r="AE27">
        <f>IF($AZ$27 &gt; AE$25, $AO$25, 100)</f>
        <v>100</v>
      </c>
      <c r="AF27">
        <f>IF($AZ$27 &gt; AF$25, $AO$25, 100)</f>
        <v>100</v>
      </c>
      <c r="AG27">
        <f>IF($AZ$27 &gt; AG$25, $AO$25, 100)</f>
        <v>100</v>
      </c>
      <c r="AH27">
        <f>IF($AZ$27 &gt; AH$25, $AO$25, 100)</f>
        <v>100</v>
      </c>
      <c r="AI27">
        <f>IF($AZ$27 &gt; AI$25, $AO$25, 100)</f>
        <v>100</v>
      </c>
      <c r="AJ27">
        <f>IF($AZ$27 &gt; AJ$25, $AO$25, 100)</f>
        <v>100</v>
      </c>
      <c r="AQ27">
        <v>0</v>
      </c>
      <c r="AR27">
        <v>0</v>
      </c>
      <c r="AT27">
        <v>0</v>
      </c>
      <c r="AU27">
        <v>0</v>
      </c>
      <c r="AY27" t="str">
        <v>=</v>
      </c>
      <c r="AZ27">
        <f>IF('Information Technology'!L55 &gt; 1, 'Information Technology'!L55 + 72, 72)</f>
        <v>72</v>
      </c>
    </row>
    <row r="31">
      <c r="A31" t="str">
        <v>Communication</v>
      </c>
    </row>
    <row r="32">
      <c r="C32" t="str">
        <v>Time (Hours)</v>
      </c>
      <c r="D32">
        <v>0</v>
      </c>
      <c r="E32">
        <v>3</v>
      </c>
      <c r="F32">
        <v>6</v>
      </c>
      <c r="G32">
        <v>9</v>
      </c>
      <c r="H32">
        <v>12</v>
      </c>
      <c r="I32">
        <v>15</v>
      </c>
      <c r="J32">
        <v>18</v>
      </c>
      <c r="K32">
        <v>21</v>
      </c>
      <c r="L32">
        <v>24</v>
      </c>
      <c r="M32">
        <v>27</v>
      </c>
      <c r="N32">
        <v>30</v>
      </c>
      <c r="O32">
        <v>33</v>
      </c>
      <c r="P32">
        <v>36</v>
      </c>
      <c r="Q32">
        <v>39</v>
      </c>
      <c r="R32">
        <v>42</v>
      </c>
      <c r="S32">
        <v>45</v>
      </c>
      <c r="T32">
        <v>48</v>
      </c>
      <c r="U32">
        <v>51</v>
      </c>
      <c r="V32">
        <v>54</v>
      </c>
      <c r="W32">
        <v>57</v>
      </c>
      <c r="X32">
        <v>60</v>
      </c>
      <c r="Y32">
        <v>63</v>
      </c>
      <c r="Z32">
        <v>66</v>
      </c>
      <c r="AA32">
        <v>69</v>
      </c>
      <c r="AB32">
        <v>72</v>
      </c>
      <c r="AC32">
        <v>75</v>
      </c>
      <c r="AD32">
        <v>78</v>
      </c>
      <c r="AE32">
        <v>81</v>
      </c>
      <c r="AF32">
        <v>84</v>
      </c>
      <c r="AG32">
        <v>87</v>
      </c>
      <c r="AH32">
        <v>90</v>
      </c>
      <c r="AI32">
        <v>93</v>
      </c>
      <c r="AJ32">
        <v>96</v>
      </c>
      <c r="AN32" t="str">
        <v>X=</v>
      </c>
      <c r="AO32">
        <f>100-AQ32</f>
        <v>0</v>
      </c>
      <c r="AQ32" cm="1">
        <f t="array" ref="AQ32:AR34">(Communication!L32:M34)/100%*(100)</f>
        <v>100</v>
      </c>
      <c r="AR32">
        <v>0</v>
      </c>
      <c r="AT32" cm="1">
        <f t="array" ref="AT32:AU34">(Communication!L49:M51)/100%*(100)</f>
        <v>0</v>
      </c>
      <c r="AU32">
        <v>0</v>
      </c>
      <c r="AW32" t="str">
        <v>Total hours of impacts to the facilty after external resumption</v>
      </c>
    </row>
    <row r="33">
      <c r="B33" t="str">
        <v xml:space="preserve">Without a Backup </v>
      </c>
      <c r="D33">
        <v>100</v>
      </c>
      <c r="E33">
        <f>IF(OR(AND(Communication!L28 &gt;= 1, Communication!L28 &lt;= 3), D33 = AO32), AO32, 100)</f>
        <v>0</v>
      </c>
      <c r="F33">
        <f>IF(OR(AND(Communication!$L$28 &gt;= 4, Communication!$L$28 &lt;= 6), E33 = AO32), AO32, 100)</f>
        <v>0</v>
      </c>
      <c r="G33">
        <f>IF(OR(AND(Communication!$L$28&gt;=7, Communication!$L$28&lt;=9),F33= AO32),AO32,100)</f>
        <v>0</v>
      </c>
      <c r="H33">
        <f>IF(OR(AND(Communication!$L$28 &gt;= 10, Communication!$L$28 &lt;= 12), G33 = AO32), AO32, 100)</f>
        <v>0</v>
      </c>
      <c r="I33">
        <f>IF(OR(AND(Communication!$L$28 &gt;= 13, Communication!$L$28 &lt;= 15), H33 = AO32), AO32, 100)</f>
        <v>0</v>
      </c>
      <c r="J33">
        <f>IF(OR(AND(Communication!$L$28 &gt;= 16, Communication!$L$28 &lt;= 18), I33 = AO32), AO32, 100)</f>
        <v>0</v>
      </c>
      <c r="K33">
        <f>IF(OR(AND(Communication!$L$28 &gt;= 19, Communication!$L$28 &lt;= 21), J33 = AO32), AO32, 100)</f>
        <v>0</v>
      </c>
      <c r="L33">
        <f>IF(OR(AND(Communication!$L$28 &gt;= 22, Communication!$L$28 &lt;= 24), K33 = AO32), AO32, 100)</f>
        <v>0</v>
      </c>
      <c r="M33">
        <f>IF(OR(AND(Communication!$L$28 &gt;= 25, Communication!$L$28 &lt;= 27), L33 = AO32), AO32, 100)</f>
        <v>0</v>
      </c>
      <c r="N33">
        <f>IF(OR(AND(Communication!$L$28 &gt;= 28, Communication!$L$28 &lt;= 30), M33 = AO32), AO32, 100)</f>
        <v>0</v>
      </c>
      <c r="O33">
        <f>IF(OR(AND(Communication!$L$28 &gt;= 31, Communication!$L$28 &lt;= 33), N33 = AO32), AO32, 100)</f>
        <v>0</v>
      </c>
      <c r="P33">
        <f>IF(OR(AND(Communication!$L$28 &gt;= 34, Communication!$L$28 &lt;= 36), O33 = AO32), AO32, 100)</f>
        <v>0</v>
      </c>
      <c r="Q33">
        <f>IF(OR(AND(Communication!$L$28 &gt;= 37, Communication!$L$28 &lt;= 39), P33 = AO32), AO32, 100)</f>
        <v>0</v>
      </c>
      <c r="R33">
        <f>IF(OR(AND(Communication!$L$28 &gt;= 40, Communication!$L$28 &lt;= 42), Q33 = AO32), AO32, 100)</f>
        <v>0</v>
      </c>
      <c r="S33">
        <f>IF(OR(AND(Communication!$L$28 &gt;= 43, Communication!$L$28 &lt;= 45), R33 = AO32), AO32, 100)</f>
        <v>0</v>
      </c>
      <c r="T33">
        <f>IF(OR(AND(Communication!$L$28 &gt;= 46, Communication!$L$28 &lt;= 48), S33 = AO32), AO32, 100)</f>
        <v>0</v>
      </c>
      <c r="U33">
        <f>IF(OR(AND(Communication!$L$28 &gt;= 49, Communication!$L$28 &lt;= 51), T33 = AO32), AO32, 100)</f>
        <v>0</v>
      </c>
      <c r="V33">
        <f>IF(OR(AND(Communication!$L$28 &gt;= 52, Communication!$L$28 &lt;= 54), U33 = AO32), AO32, 100)</f>
        <v>0</v>
      </c>
      <c r="W33">
        <f>IF(OR(AND(Communication!$L$28 &gt;=55,Communication!$L$28&lt;=57),V33=AO32),AO32,100)</f>
        <v>0</v>
      </c>
      <c r="X33">
        <f>IF(OR(AND(Communication!$L$28 &gt;= 58, Communication!$L$28 &lt;= 60), W33 = AO32), AO32, 100)</f>
        <v>0</v>
      </c>
      <c r="Y33">
        <f>IF(OR(AND(Communication!$L$28 &gt;= 61, Communication!$L$28 &lt;= 63), X33 = AO32), AO32, 100)</f>
        <v>0</v>
      </c>
      <c r="Z33">
        <f>IF(OR(AND(Communication!$L$28 &gt;= 64, Communication!$L$28 &lt;= 66), Y33 = AO32), AO32, 100)</f>
        <v>0</v>
      </c>
      <c r="AA33">
        <f>IF(OR(AND(Communication!$L$28 &gt;= 67, Communication!$L$28 &lt;= 69), Z33 = AO32), AO32, 100)</f>
        <v>0</v>
      </c>
      <c r="AB33">
        <f>IF($AZ$34 &gt; AB$32, $AO$32, 100)</f>
        <v>100</v>
      </c>
      <c r="AC33">
        <f>IF($AZ$34 &gt; AC$32, $AO$32, 100)</f>
        <v>100</v>
      </c>
      <c r="AD33">
        <f>IF($AZ$34 &gt; AD$32, $AO$32, 100)</f>
        <v>100</v>
      </c>
      <c r="AE33">
        <f>IF($AZ$34 &gt; AE$32, $AO$32, 100)</f>
        <v>100</v>
      </c>
      <c r="AF33">
        <f>IF($AZ$34 &gt; AF$32, $AO$32, 100)</f>
        <v>100</v>
      </c>
      <c r="AG33">
        <f>IF($AZ$34 &gt; AG$32, $AO$32, 100)</f>
        <v>100</v>
      </c>
      <c r="AH33">
        <f>IF($AZ$34 &gt; AH$32, $AO$32, 100)</f>
        <v>100</v>
      </c>
      <c r="AI33">
        <f>IF($AZ$34 &gt; AI$32, $AO$32, 100)</f>
        <v>100</v>
      </c>
      <c r="AJ33">
        <f>IF($AZ$34 &gt; AJ$32, $AO$32, 100)</f>
        <v>100</v>
      </c>
      <c r="AN33" t="str">
        <v>Y=</v>
      </c>
      <c r="AO33">
        <f>100-AT32</f>
        <v>100</v>
      </c>
      <c r="AQ33">
        <v>0</v>
      </c>
      <c r="AR33">
        <v>0</v>
      </c>
      <c r="AT33">
        <v>0</v>
      </c>
      <c r="AU33">
        <v>0</v>
      </c>
    </row>
    <row r="34">
      <c r="B34" t="str">
        <v xml:space="preserve">With a Backup </v>
      </c>
      <c r="D34">
        <v>100</v>
      </c>
      <c r="E34">
        <f>IF(Communication!$L$43 &gt; E32, $AO$33, $AO$32)</f>
        <v>0</v>
      </c>
      <c r="F34">
        <f>IF(Communication!$L$43 &gt; F32, $AO$33, $AO$32)</f>
        <v>0</v>
      </c>
      <c r="G34">
        <f>IF(Communication!$L$43 &gt; G32, $AO$33, $AO$32)</f>
        <v>0</v>
      </c>
      <c r="H34">
        <f>IF(Communication!$L$43 &gt; H32, $AO$33, $AO$32)</f>
        <v>0</v>
      </c>
      <c r="I34">
        <f>IF(Communication!$L$43 &gt; I32, $AO$33, $AO$32)</f>
        <v>0</v>
      </c>
      <c r="J34">
        <f>IF(Communication!$L$43 &gt; J32, $AO$33, $AO$32)</f>
        <v>0</v>
      </c>
      <c r="K34">
        <f>IF(Communication!$L$43 &gt; K32, $AO$33, $AO$32)</f>
        <v>0</v>
      </c>
      <c r="L34">
        <f>IF(Communication!$L$43 &gt; L32, $AO$33, $AO$32)</f>
        <v>0</v>
      </c>
      <c r="M34">
        <f>IF(Communication!$L$43 &gt; M32, $AO$33, $AO$32)</f>
        <v>0</v>
      </c>
      <c r="N34">
        <f>IF(Communication!$L$43 &gt; N32, $AO$33, $AO$32)</f>
        <v>0</v>
      </c>
      <c r="O34">
        <f>IF(Communication!$L$43 &gt; O32, $AO$33, $AO$32)</f>
        <v>0</v>
      </c>
      <c r="P34">
        <f>IF(Communication!$L$43 &gt; P32, $AO$33, $AO$32)</f>
        <v>0</v>
      </c>
      <c r="Q34">
        <f>IF(Communication!$L$43 &gt; Q32, $AO$33, $AO$32)</f>
        <v>0</v>
      </c>
      <c r="R34">
        <f>IF(Communication!$L$43 &gt; R32, $AO$33, $AO$32)</f>
        <v>0</v>
      </c>
      <c r="S34">
        <f>IF(Communication!$L$43 &gt; S32, $AO$33, $AO$32)</f>
        <v>0</v>
      </c>
      <c r="T34">
        <f>IF(Communication!$L$43 &gt; T32, $AO$33, $AO$32)</f>
        <v>0</v>
      </c>
      <c r="U34">
        <f>IF(Communication!$L$43 &gt; U32, $AO$33, $AO$32)</f>
        <v>0</v>
      </c>
      <c r="V34">
        <f>IF(Communication!$L$43 &gt; V32, $AO$33, $AO$32)</f>
        <v>0</v>
      </c>
      <c r="W34">
        <f>IF(Communication!$L$43 &gt; W32, $AO$33, $AO$32)</f>
        <v>0</v>
      </c>
      <c r="X34">
        <f>IF(Communication!$L$43 &gt; X32, $AO$33, $AO$32)</f>
        <v>0</v>
      </c>
      <c r="Y34">
        <f>IF(Communication!$L$43 &gt; Y32, $AO$33, $AO$32)</f>
        <v>0</v>
      </c>
      <c r="Z34">
        <f>IF(Communication!$L$43 &gt; Z32, $AO$33, $AO$32)</f>
        <v>0</v>
      </c>
      <c r="AA34">
        <f>IF(Communication!$L$43 &gt; AA32, $AO$33, $AO$32)</f>
        <v>0</v>
      </c>
      <c r="AB34">
        <f>IF($AZ$34 &gt; AB$32, $AO$32, 100)</f>
        <v>100</v>
      </c>
      <c r="AC34">
        <f>IF($AZ$34 &gt; AC$32, $AO$32, 100)</f>
        <v>100</v>
      </c>
      <c r="AD34">
        <f>IF($AZ$34 &gt; AD$32, $AO$32, 100)</f>
        <v>100</v>
      </c>
      <c r="AE34">
        <f>IF($AZ$34 &gt; AE$32, $AO$32, 100)</f>
        <v>100</v>
      </c>
      <c r="AF34">
        <f>IF($AZ$34 &gt; AF$32, $AO$32, 100)</f>
        <v>100</v>
      </c>
      <c r="AG34">
        <f>IF($AZ$34 &gt; AG$32, $AO$32, 100)</f>
        <v>100</v>
      </c>
      <c r="AH34">
        <f>IF($AZ$34 &gt; AH$32, $AO$32, 100)</f>
        <v>100</v>
      </c>
      <c r="AI34">
        <f>IF($AZ$34 &gt; AI$32, $AO$32, 100)</f>
        <v>100</v>
      </c>
      <c r="AJ34">
        <f>IF($AZ$34 &gt; AJ$32, $AO$32, 100)</f>
        <v>100</v>
      </c>
      <c r="AQ34">
        <v>0</v>
      </c>
      <c r="AR34">
        <v>0</v>
      </c>
      <c r="AT34">
        <v>0</v>
      </c>
      <c r="AU34">
        <v>0</v>
      </c>
      <c r="AY34" t="str">
        <v>=</v>
      </c>
      <c r="AZ34">
        <f>IF(Communication!L55 &gt; 1, Communication!L55 + 72, 72)</f>
        <v>72</v>
      </c>
    </row>
    <row r="36">
      <c r="AB36" t="str">
        <v>`</v>
      </c>
    </row>
    <row r="38">
      <c r="A38" t="str">
        <v>Critical Products</v>
      </c>
    </row>
    <row r="39">
      <c r="C39" t="str">
        <v>Time (Hours)</v>
      </c>
      <c r="D39">
        <v>0</v>
      </c>
      <c r="E39">
        <v>3</v>
      </c>
      <c r="F39">
        <v>6</v>
      </c>
      <c r="G39">
        <v>9</v>
      </c>
      <c r="H39">
        <v>12</v>
      </c>
      <c r="I39">
        <v>15</v>
      </c>
      <c r="J39">
        <v>18</v>
      </c>
      <c r="K39">
        <v>21</v>
      </c>
      <c r="L39">
        <v>24</v>
      </c>
      <c r="M39">
        <v>27</v>
      </c>
      <c r="N39">
        <v>30</v>
      </c>
      <c r="O39">
        <v>33</v>
      </c>
      <c r="P39">
        <v>36</v>
      </c>
      <c r="Q39">
        <v>39</v>
      </c>
      <c r="R39">
        <v>42</v>
      </c>
      <c r="S39">
        <v>45</v>
      </c>
      <c r="T39">
        <v>48</v>
      </c>
      <c r="U39">
        <v>51</v>
      </c>
      <c r="V39">
        <v>54</v>
      </c>
      <c r="W39">
        <v>57</v>
      </c>
      <c r="X39">
        <v>60</v>
      </c>
      <c r="Y39">
        <v>63</v>
      </c>
      <c r="Z39">
        <v>66</v>
      </c>
      <c r="AA39">
        <v>69</v>
      </c>
      <c r="AB39">
        <v>72</v>
      </c>
      <c r="AC39">
        <v>75</v>
      </c>
      <c r="AD39">
        <v>78</v>
      </c>
      <c r="AE39">
        <v>81</v>
      </c>
      <c r="AF39">
        <v>84</v>
      </c>
      <c r="AG39">
        <v>87</v>
      </c>
      <c r="AH39">
        <v>90</v>
      </c>
      <c r="AI39">
        <v>93</v>
      </c>
      <c r="AJ39">
        <v>96</v>
      </c>
      <c r="AN39" t="str">
        <v>X=</v>
      </c>
      <c r="AO39">
        <f>100-AQ39</f>
        <v>100</v>
      </c>
      <c r="AQ39" cm="1">
        <f t="array" ref="AQ39:AR41">('Critical Products'!L32:M34)/100%*(100)</f>
        <v>0</v>
      </c>
      <c r="AR39">
        <v>0</v>
      </c>
      <c r="AT39" cm="1">
        <f t="array" ref="AT39:AU41" xml:space="preserve"> ('Critical Products'!L48:M50)/100%*(100)</f>
        <v>0</v>
      </c>
      <c r="AU39">
        <v>0</v>
      </c>
      <c r="AW39" t="str">
        <v>Total hours of impacts to the facilty after external resumption</v>
      </c>
    </row>
    <row r="40">
      <c r="B40" t="str">
        <v>Without a Backup</v>
      </c>
      <c r="D40">
        <v>100</v>
      </c>
      <c r="E40">
        <f>IF(OR(AND('Critical Products'!L28 &gt;= 1, 'Critical Products'!L28 &lt;= 3), D40 = AO39), AO39, 100)</f>
        <v>100</v>
      </c>
      <c r="F40">
        <f>IF(OR(AND('Critical Products'!$L$28 &gt;= 4, 'Critical Products'!$L$28 &lt;= 6), E40 = AO39), AO39, 100)</f>
        <v>100</v>
      </c>
      <c r="G40">
        <f>IF(OR(AND('Critical Products'!$L$28&gt;=7, 'Critical Products'!$L$28&lt;=9),F40= AO39),AO39,100)</f>
        <v>100</v>
      </c>
      <c r="H40">
        <f>IF(OR(AND('Critical Products'!$L$28 &gt;= 10, 'Critical Products'!$L$28 &lt;= 12), G40 = AO39), AO39, 100)</f>
        <v>100</v>
      </c>
      <c r="I40">
        <f>IF(OR(AND('Critical Products'!$L$28 &gt;= 13, 'Critical Products'!$L$28 &lt;= 15), H40 = AO39), AO39, 100)</f>
        <v>100</v>
      </c>
      <c r="J40">
        <f>IF(OR(AND('Critical Products'!$L$28 &gt;= 16, 'Critical Products'!$L$28 &lt;= 18), I40 = AO39), AO39, 100)</f>
        <v>100</v>
      </c>
      <c r="K40">
        <f>IF(OR(AND('Critical Products'!$L$28 &gt;= 19, 'Critical Products'!$L$28 &lt;= 21), J40 = AO39), AO39, 100)</f>
        <v>100</v>
      </c>
      <c r="L40">
        <f>IF(OR(AND('Critical Products'!$L$28 &gt;= 22, 'Critical Products'!$L$28 &lt;= 24), K40 = AO39), AO39, 100)</f>
        <v>100</v>
      </c>
      <c r="M40">
        <f>IF(OR(AND('Critical Products'!$L$28 &gt;= 25, 'Critical Products'!$L$28 &lt;= 27), L40 = AO39), AO39, 100)</f>
        <v>100</v>
      </c>
      <c r="N40">
        <f>IF(OR(AND('Critical Products'!$L$28 &gt;= 28, 'Critical Products'!$L$28 &lt;= 30), M40 = AO39), AO39, 100)</f>
        <v>100</v>
      </c>
      <c r="O40">
        <f>IF(OR(AND('Critical Products'!$L$28 &gt;= 31, 'Critical Products'!$L$28 &lt;= 33), N40 = AO39), AO39, 100)</f>
        <v>100</v>
      </c>
      <c r="P40">
        <f>IF(OR(AND('Critical Products'!$L$28 &gt;= 34, 'Critical Products'!$L$28 &lt;= 36), O40 = AO39), AO39, 100)</f>
        <v>100</v>
      </c>
      <c r="Q40">
        <f>IF(OR(AND('Critical Products'!$L$28 &gt;= 37, 'Critical Products'!$L$28 &lt;= 39), P40 = AO39), AO39, 100)</f>
        <v>100</v>
      </c>
      <c r="R40">
        <f>IF(OR(AND('Critical Products'!$L$28 &gt;= 40, 'Critical Products'!$L$28 &lt;= 42), Q40 = AO39), AO39, 100)</f>
        <v>100</v>
      </c>
      <c r="S40">
        <f>IF(OR(AND('Critical Products'!$L$28 &gt;= 43, 'Critical Products'!$L$28 &lt;= 45), R40 = AO39), AO39, 100)</f>
        <v>100</v>
      </c>
      <c r="T40">
        <f>IF(OR(AND('Critical Products'!$L$28 &gt;= 46, 'Critical Products'!$L$28 &lt;= 48), S40 = AO39), AO39, 100)</f>
        <v>100</v>
      </c>
      <c r="U40">
        <f>IF(OR(AND('Critical Products'!$L$28 &gt;= 49, 'Critical Products'!$L$28 &lt;= 51), T40 = AO39), AO39, 100)</f>
        <v>100</v>
      </c>
      <c r="V40">
        <f>IF(OR(AND('Critical Products'!$L$28 &gt;= 52, 'Critical Products'!$L$28 &lt;= 54), U40 = AO39), AO39, 100)</f>
        <v>100</v>
      </c>
      <c r="W40">
        <f>IF(OR(AND('Critical Products'!$L$28 &gt;=55,'Critical Products'!$L$28&lt;=57),V40=AO39),AO39,100)</f>
        <v>100</v>
      </c>
      <c r="X40">
        <f>IF(OR(AND('Critical Products'!$L$28 &gt;= 58, 'Critical Products'!$L$28 &lt;= 60), W40 = AO39), AO39, 100)</f>
        <v>100</v>
      </c>
      <c r="Y40">
        <f>IF(OR(AND('Critical Products'!$L$28 &gt;= 61, 'Critical Products'!$L$28 &lt;= 63), X40 = AO39), AO39, 100)</f>
        <v>100</v>
      </c>
      <c r="Z40">
        <f>IF(OR(AND('Critical Products'!$L$28 &gt;= 64, 'Critical Products'!$L$28 &lt;= 66), Y40 = AO39), AO39, 100)</f>
        <v>100</v>
      </c>
      <c r="AA40">
        <f>IF(OR(AND('Critical Products'!$L$28 &gt;= 67, 'Critical Products'!$L$28 &lt;= 69), Z40 = AO39), AO39, 100)</f>
        <v>100</v>
      </c>
      <c r="AB40">
        <f>IF($AZ$41 &gt; AB$39, $AO$39, 100)</f>
        <v>100</v>
      </c>
      <c r="AC40">
        <f>IF($AZ$41 &gt; AC$39, $AO$39, 100)</f>
        <v>100</v>
      </c>
      <c r="AD40">
        <f>IF($AZ$41 &gt; AD$39, $AO$39, 100)</f>
        <v>100</v>
      </c>
      <c r="AE40">
        <f>IF($AZ$41 &gt; AE$39, $AO$39, 100)</f>
        <v>100</v>
      </c>
      <c r="AF40">
        <f>IF($AZ$41 &gt; AF$39, $AO$39, 100)</f>
        <v>100</v>
      </c>
      <c r="AG40">
        <f>IF($AZ$41 &gt; AG$39, $AO$39, 100)</f>
        <v>100</v>
      </c>
      <c r="AH40">
        <f>IF($AZ$41 &gt; AH$39, $AO$39, 100)</f>
        <v>100</v>
      </c>
      <c r="AI40">
        <f>IF($AZ$41 &gt; AI$39, $AO$39, 100)</f>
        <v>100</v>
      </c>
      <c r="AJ40">
        <f>IF($AZ$41 &gt; AJ$39, $AO$39, 100)</f>
        <v>100</v>
      </c>
      <c r="AN40" t="str">
        <v>Y=</v>
      </c>
      <c r="AO40">
        <f>100-AT39</f>
        <v>100</v>
      </c>
      <c r="AQ40">
        <v>0</v>
      </c>
      <c r="AR40">
        <v>0</v>
      </c>
      <c r="AT40">
        <v>0</v>
      </c>
      <c r="AU40">
        <v>0</v>
      </c>
    </row>
    <row r="41">
      <c r="B41" t="str">
        <v>With a Backup</v>
      </c>
      <c r="D41">
        <v>100</v>
      </c>
      <c r="E41">
        <f>IF(Communication!$L$43 &gt; E39, $AO$40, $AO$39)</f>
        <v>100</v>
      </c>
      <c r="F41">
        <f>IF(Communication!$L$43 &gt; F39, $AO$40, $AO$39)</f>
        <v>100</v>
      </c>
      <c r="G41">
        <f>IF(Communication!$L$43 &gt; G39, $AO$40, $AO$39)</f>
        <v>100</v>
      </c>
      <c r="H41">
        <f>IF(Communication!$L$43 &gt; H39, $AO$40, $AO$39)</f>
        <v>100</v>
      </c>
      <c r="I41">
        <f>IF(Communication!$L$43 &gt; I39, $AO$40, $AO$39)</f>
        <v>100</v>
      </c>
      <c r="J41">
        <f>IF(Communication!$L$43 &gt; J39, $AO$40, $AO$39)</f>
        <v>100</v>
      </c>
      <c r="K41">
        <f>IF(Communication!$L$43 &gt; K39, $AO$40, $AO$39)</f>
        <v>100</v>
      </c>
      <c r="L41">
        <f>IF(Communication!$L$43 &gt; L39, $AO$40, $AO$39)</f>
        <v>100</v>
      </c>
      <c r="M41">
        <f>IF(Communication!$L$43 &gt; M39, $AO$40, $AO$39)</f>
        <v>100</v>
      </c>
      <c r="N41">
        <f>IF(Communication!$L$43 &gt; N39, $AO$40, $AO$39)</f>
        <v>100</v>
      </c>
      <c r="O41">
        <f>IF(Communication!$L$43 &gt; O39, $AO$40, $AO$39)</f>
        <v>100</v>
      </c>
      <c r="P41">
        <f>IF(Communication!$L$43 &gt; P39, $AO$40, $AO$39)</f>
        <v>100</v>
      </c>
      <c r="Q41">
        <f>IF(Communication!$L$43 &gt; Q39, $AO$40, $AO$39)</f>
        <v>100</v>
      </c>
      <c r="R41">
        <f>IF(Communication!$L$43 &gt; R39, $AO$40, $AO$39)</f>
        <v>100</v>
      </c>
      <c r="S41">
        <f>IF(Communication!$L$43 &gt; S39, $AO$40, $AO$39)</f>
        <v>100</v>
      </c>
      <c r="T41">
        <f>IF(Communication!$L$43 &gt; T39, $AO$40, $AO$39)</f>
        <v>100</v>
      </c>
      <c r="U41">
        <f>IF(Communication!$L$43 &gt; U39, $AO$40, $AO$39)</f>
        <v>100</v>
      </c>
      <c r="V41">
        <f>IF(Communication!$L$43 &gt; V39, $AO$40, $AO$39)</f>
        <v>100</v>
      </c>
      <c r="W41">
        <f>IF(Communication!$L$43 &gt; W39, $AO$40, $AO$39)</f>
        <v>100</v>
      </c>
      <c r="X41">
        <f>IF(Communication!$L$43 &gt; X39, $AO$40, $AO$39)</f>
        <v>100</v>
      </c>
      <c r="Y41">
        <f>IF(Communication!$L$43 &gt; Y39, $AO$40, $AO$39)</f>
        <v>100</v>
      </c>
      <c r="Z41">
        <f>IF(Communication!$L$43 &gt; Z39, $AO$40, $AO$39)</f>
        <v>100</v>
      </c>
      <c r="AA41">
        <f>IF(Communication!$L$43 &gt; AA39, $AO$40, $AO$39)</f>
        <v>100</v>
      </c>
      <c r="AB41">
        <f>IF($AZ$41 &gt; AB$39, $AO$39, 100)</f>
        <v>100</v>
      </c>
      <c r="AC41">
        <f>IF($AZ$41 &gt; AC$39, $AO$39, 100)</f>
        <v>100</v>
      </c>
      <c r="AD41">
        <f>IF($AZ$41 &gt; AD$39, $AO$39, 100)</f>
        <v>100</v>
      </c>
      <c r="AE41">
        <f>IF($AZ$41 &gt; AE$39, $AO$39, 100)</f>
        <v>100</v>
      </c>
      <c r="AF41">
        <f>IF($AZ$41 &gt; AF$39, $AO$39, 100)</f>
        <v>100</v>
      </c>
      <c r="AG41">
        <f>IF($AZ$41 &gt; AG$39, $AO$39, 100)</f>
        <v>100</v>
      </c>
      <c r="AH41">
        <f>IF($AZ$41 &gt; AH$39, $AO$39, 100)</f>
        <v>100</v>
      </c>
      <c r="AI41">
        <f>IF($AZ$41 &gt; AI$39, $AO$39, 100)</f>
        <v>100</v>
      </c>
      <c r="AJ41">
        <f>IF($AZ$41 &gt; AJ$39, $AO$39, 100)</f>
        <v>100</v>
      </c>
      <c r="AQ41">
        <v>0</v>
      </c>
      <c r="AR41">
        <v>0</v>
      </c>
      <c r="AT41">
        <v>0</v>
      </c>
      <c r="AU41">
        <v>0</v>
      </c>
      <c r="AY41" t="str">
        <v>=</v>
      </c>
      <c r="AZ41">
        <f>IF('Critical Products'!L53 &gt; 1, 'Critical Products'!L53+ 72, 72)</f>
        <v>72</v>
      </c>
    </row>
  </sheetData>
  <mergeCells count="13">
    <mergeCell ref="AW39:AZ40"/>
    <mergeCell ref="AM1:BA1"/>
    <mergeCell ref="A38:A42"/>
    <mergeCell ref="A3:A7"/>
    <mergeCell ref="A10:A14"/>
    <mergeCell ref="A17:A21"/>
    <mergeCell ref="A24:A28"/>
    <mergeCell ref="A31:A35"/>
    <mergeCell ref="AW11:AZ12"/>
    <mergeCell ref="AW4:AZ5"/>
    <mergeCell ref="AW18:AZ19"/>
    <mergeCell ref="AW25:AZ26"/>
    <mergeCell ref="AW32:AZ33"/>
  </mergeCells>
  <pageMargins left="0.7" right="0.7" top="0.75" bottom="0.75" header="0.3" footer="0.3"/>
  <ignoredErrors>
    <ignoredError numberStoredAsText="1" sqref="A1:CK42"/>
  </ignoredErrors>
</worksheet>
</file>

<file path=xl/worksheets/sheet10.xml><?xml version="1.0" encoding="utf-8"?>
<worksheet xmlns="http://schemas.openxmlformats.org/spreadsheetml/2006/main" xmlns:r="http://schemas.openxmlformats.org/officeDocument/2006/relationships">
  <dimension ref="A1"/>
  <sheetViews>
    <sheetView workbookViewId="0" rightToLeft="0"/>
  </sheetViews>
  <sheetData/>
  <pageMargins left="0.7" right="0.7" top="0.75" bottom="0.75" header="0.3" footer="0.3"/>
  <ignoredErrors>
    <ignoredError numberStoredAsText="1" sqref="A1"/>
  </ignoredErrors>
</worksheet>
</file>

<file path=xl/worksheets/sheet11.xml><?xml version="1.0" encoding="utf-8"?>
<worksheet xmlns="http://schemas.openxmlformats.org/spreadsheetml/2006/main" xmlns:r="http://schemas.openxmlformats.org/officeDocument/2006/relationships">
  <dimension ref="A1:K32"/>
  <sheetViews>
    <sheetView workbookViewId="0" rightToLeft="0"/>
  </sheetViews>
  <sheetData>
    <row r="1">
      <c r="A1" t="str">
        <v>condition_code</v>
      </c>
      <c r="B1" t="str">
        <v>infrastructure</v>
      </c>
      <c r="C1" t="str">
        <v>vulnerability</v>
      </c>
      <c r="D1" t="str">
        <v>ofc_1</v>
      </c>
      <c r="E1" t="str">
        <v>ofc_2</v>
      </c>
      <c r="F1" t="str">
        <v>ofc_3</v>
      </c>
      <c r="G1" t="str">
        <v>ofc_4</v>
      </c>
      <c r="H1" t="str">
        <v>source_type</v>
      </c>
      <c r="I1" t="str">
        <v>source_reference</v>
      </c>
      <c r="J1" t="str">
        <v>approved</v>
      </c>
      <c r="K1" t="str">
        <v>version</v>
      </c>
    </row>
    <row r="2">
      <c r="A2" t="str">
        <v>EP_SINGLE_FEED</v>
      </c>
      <c r="B2" t="str">
        <v>ENERGY</v>
      </c>
      <c r="C2" t="str">
        <v>Electric service may rely on a single feed or limited diversity.</v>
      </c>
      <c r="D2" t="str">
        <v>Evaluate the feasibility of establishing additional electric service connections with geographic separation.</v>
      </c>
      <c r="E2" t="str">
        <v/>
      </c>
      <c r="F2" t="str">
        <v/>
      </c>
      <c r="G2" t="str">
        <v/>
      </c>
      <c r="H2" t="str">
        <v>VOFC_XLS</v>
      </c>
      <c r="I2" t="str">
        <v>VOFC_ENERGY_001</v>
      </c>
      <c r="J2" t="str">
        <v>TRUE</v>
      </c>
      <c r="K2" t="str">
        <v>dep_v1</v>
      </c>
    </row>
    <row r="3">
      <c r="A3" t="str">
        <v>EP_NO_BACKUP_POWER</v>
      </c>
      <c r="B3" t="str">
        <v>ENERGY</v>
      </c>
      <c r="C3" t="str">
        <v>Backup power capability may be absent or insufficient for critical operations.</v>
      </c>
      <c r="D3" t="str">
        <v>Evaluate the need for backup or alternate power capability to support critical operations during extended electric service outages.</v>
      </c>
      <c r="E3" t="str">
        <v/>
      </c>
      <c r="F3" t="str">
        <v/>
      </c>
      <c r="G3" t="str">
        <v/>
      </c>
      <c r="H3" t="str">
        <v>VOFC_XLS</v>
      </c>
      <c r="I3" t="str">
        <v>VOFC_ENERGY_002</v>
      </c>
      <c r="J3" t="str">
        <v>TRUE</v>
      </c>
      <c r="K3" t="str">
        <v>dep_v1</v>
      </c>
    </row>
    <row r="4">
      <c r="A4" t="str">
        <v>COM_SHARED_ENTRY</v>
      </c>
      <c r="B4" t="str">
        <v>COMMUNICATIONS</v>
      </c>
      <c r="C4" t="str">
        <v>Communications paths may share facility entry points with other utilities.</v>
      </c>
      <c r="D4" t="str">
        <v>Evaluate path diversity and facility entry separation for communications services.</v>
      </c>
      <c r="E4" t="str">
        <v/>
      </c>
      <c r="F4" t="str">
        <v/>
      </c>
      <c r="G4" t="str">
        <v/>
      </c>
      <c r="H4" t="str">
        <v>VOFC_XLS</v>
      </c>
      <c r="I4" t="str">
        <v>VOFC_COM_001</v>
      </c>
      <c r="J4" t="str">
        <v>TRUE</v>
      </c>
      <c r="K4" t="str">
        <v>dep_v1</v>
      </c>
    </row>
    <row r="5">
      <c r="A5" t="str">
        <v>IT_NO_REDUNDANT_CARRIER</v>
      </c>
      <c r="B5" t="str">
        <v>INFORMATION_TRANSPORT</v>
      </c>
      <c r="C5" t="str">
        <v>IT services may rely on a single carrier or path with no redundant options.</v>
      </c>
      <c r="D5" t="str">
        <v>Evaluate carrier diversity and alternate path options for externally hosted or managed digital services.</v>
      </c>
      <c r="E5" t="str">
        <v/>
      </c>
      <c r="F5" t="str">
        <v/>
      </c>
      <c r="G5" t="str">
        <v/>
      </c>
      <c r="H5" t="str">
        <v>VOFC_XLS</v>
      </c>
      <c r="I5" t="str">
        <v>VOFC_IT_001</v>
      </c>
      <c r="J5" t="str">
        <v>TRUE</v>
      </c>
      <c r="K5" t="str">
        <v>dep_v1</v>
      </c>
    </row>
    <row r="6">
      <c r="A6" t="str">
        <v>W_SINGLE_CONN</v>
      </c>
      <c r="B6" t="str">
        <v>WATER</v>
      </c>
      <c r="C6" t="str">
        <v>The facility relies on a single water service connection, creating a potential single point of failure. A disruption could degrade operations.</v>
      </c>
      <c r="D6" t="str">
        <v>Consider discussing redundancy feasibility or alternate routing options with the water utility/provider.</v>
      </c>
      <c r="E6" t="str">
        <v>Consider documenting internal operational thresholds and prioritizing water-dependent functions during a disruption.</v>
      </c>
      <c r="F6" t="str">
        <v/>
      </c>
      <c r="G6" t="str">
        <v/>
      </c>
      <c r="H6" t="str">
        <v>OTHER</v>
      </c>
      <c r="I6" t="str">
        <v>WATER_TAB_REFACTOR_v1</v>
      </c>
      <c r="J6" t="str">
        <v>FALSE</v>
      </c>
      <c r="K6" t="str">
        <v>dep_v1</v>
      </c>
    </row>
    <row r="7">
      <c r="A7" t="str">
        <v>W_SHARED_ENTRY</v>
      </c>
      <c r="B7" t="str">
        <v>WATER</v>
      </c>
      <c r="C7" t="str">
        <v>Water service connections enter the site at the same geographic location, creating a potential single point of failure.</v>
      </c>
      <c r="D7" t="str">
        <v>Explore options to separate connection entry points where feasible.</v>
      </c>
      <c r="E7" t="str">
        <v>Consider documenting local hazards that could affect the shared entry area (construction, flooding, vehicle impact).</v>
      </c>
      <c r="F7" t="str">
        <v/>
      </c>
      <c r="G7" t="str">
        <v/>
      </c>
      <c r="H7" t="str">
        <v>OTHER</v>
      </c>
      <c r="I7" t="str">
        <v>WATER_TAB_REFACTOR_v1</v>
      </c>
      <c r="J7" t="str">
        <v>FALSE</v>
      </c>
      <c r="K7" t="str">
        <v>dep_v1</v>
      </c>
    </row>
    <row r="8">
      <c r="A8" t="str">
        <v>W_COLOCATED_CORRIDOR</v>
      </c>
      <c r="B8" t="str">
        <v>WATER</v>
      </c>
      <c r="C8" t="str">
        <v>Water service components are collocated with other utilities, increasing the likelihood a single incident disrupts multiple services.</v>
      </c>
      <c r="D8" t="str">
        <v>Consider exploring options to reduce single-corridor dependency where feasible.</v>
      </c>
      <c r="E8" t="str">
        <v>Consider coordinating with utilities to understand corridor risk management and restoration sequencing.</v>
      </c>
      <c r="F8" t="str">
        <v/>
      </c>
      <c r="G8" t="str">
        <v/>
      </c>
      <c r="H8" t="str">
        <v>OTHER</v>
      </c>
      <c r="I8" t="str">
        <v>WATER_TAB_REFACTOR_v1</v>
      </c>
      <c r="J8" t="str">
        <v>FALSE</v>
      </c>
      <c r="K8" t="str">
        <v>dep_v1</v>
      </c>
    </row>
    <row r="9">
      <c r="A9" t="str">
        <v>W_UPSTREAM_UNKNOWN</v>
      </c>
      <c r="B9" t="str">
        <v>WATER</v>
      </c>
      <c r="C9" t="str">
        <v>The facility has not identified its water provider and relevant upstream dependency information, which may limit effective coordination during disruptions.</v>
      </c>
      <c r="D9" t="str">
        <v>Consider confirming the provider, points of contact, and service area details relevant to the site.</v>
      </c>
      <c r="E9" t="str">
        <v>Consider documenting outage reporting methods and restoration information sources.</v>
      </c>
      <c r="F9" t="str">
        <v/>
      </c>
      <c r="G9" t="str">
        <v/>
      </c>
      <c r="H9" t="str">
        <v>OTHER</v>
      </c>
      <c r="I9" t="str">
        <v>WATER_TAB_REFACTOR_v1</v>
      </c>
      <c r="J9" t="str">
        <v>FALSE</v>
      </c>
      <c r="K9" t="str">
        <v>dep_v1</v>
      </c>
    </row>
    <row r="10">
      <c r="A10" t="str">
        <v>W_NO_PRIORITY_RESTORATION</v>
      </c>
      <c r="B10" t="str">
        <v>WATER</v>
      </c>
      <c r="C10" t="str">
        <v>The facility does not participate in a priority or coordinated restoration plan with the water provider, which may delay restoration during high-impact events.</v>
      </c>
      <c r="D10" t="str">
        <v>Consider discussing restoration prioritization criteria with the provider and documenting expectations.</v>
      </c>
      <c r="E10" t="str">
        <v>Consider defining internal triggers that would necessitate escalation or alternate continuity actions.</v>
      </c>
      <c r="F10" t="str">
        <v/>
      </c>
      <c r="G10" t="str">
        <v/>
      </c>
      <c r="H10" t="str">
        <v>OTHER</v>
      </c>
      <c r="I10" t="str">
        <v>WATER_TAB_REFACTOR_v1</v>
      </c>
      <c r="J10" t="str">
        <v>FALSE</v>
      </c>
      <c r="K10" t="str">
        <v>dep_v1</v>
      </c>
    </row>
    <row r="11">
      <c r="A11" t="str">
        <v>W_NO_CONTINGENCY_PLAN</v>
      </c>
      <c r="B11" t="str">
        <v>WATER</v>
      </c>
      <c r="C11" t="str">
        <v>The facility does not have a documented contingency/coordination plan with the water provider for extended disruption.</v>
      </c>
      <c r="D11" t="str">
        <v>Consider establishing and documenting contacts, notification procedures, and escalation paths with the provider.</v>
      </c>
      <c r="E11" t="str">
        <v>Consider identifying operational actions for reduced water availability.</v>
      </c>
      <c r="F11" t="str">
        <v/>
      </c>
      <c r="G11" t="str">
        <v/>
      </c>
      <c r="H11" t="str">
        <v>OTHER</v>
      </c>
      <c r="I11" t="str">
        <v>WATER_TAB_REFACTOR_v1</v>
      </c>
      <c r="J11" t="str">
        <v>FALSE</v>
      </c>
      <c r="K11" t="str">
        <v>dep_v1</v>
      </c>
    </row>
    <row r="12">
      <c r="A12" t="str">
        <v>W_NO_ALTERNATE_SOURCE</v>
      </c>
      <c r="B12" t="str">
        <v>WATER</v>
      </c>
      <c r="C12" t="str">
        <v>The facility does not have an alternate/backup water source to use if primary water service is disrupted.</v>
      </c>
      <c r="D12" t="str">
        <v>Consider evaluating whether an alternate source is needed for core operations during extended disruptions.</v>
      </c>
      <c r="E12" t="str">
        <v>Consider documenting minimum water requirements for core operations to guide continuity planning.</v>
      </c>
      <c r="F12" t="str">
        <v/>
      </c>
      <c r="G12" t="str">
        <v/>
      </c>
      <c r="H12" t="str">
        <v>OTHER</v>
      </c>
      <c r="I12" t="str">
        <v>WATER_TAB_REFACTOR_v1</v>
      </c>
      <c r="J12" t="str">
        <v>FALSE</v>
      </c>
      <c r="K12" t="str">
        <v>dep_v1</v>
      </c>
    </row>
    <row r="13">
      <c r="A13" t="str">
        <v>W_ALTERNATE_INSUFFICIENT</v>
      </c>
      <c r="B13" t="str">
        <v>WATER</v>
      </c>
      <c r="C13" t="str">
        <v>The facility has an alternate water source, but it cannot support core operational needs during an extended disruption.</v>
      </c>
      <c r="D13" t="str">
        <v>Consider evaluating options to augment the current alternate source to better support core operations.</v>
      </c>
      <c r="E13" t="str">
        <v>Consider documenting which functions can be sustained and which would need reduction during extended disruptions.</v>
      </c>
      <c r="F13" t="str">
        <v/>
      </c>
      <c r="G13" t="str">
        <v/>
      </c>
      <c r="H13" t="str">
        <v>OTHER</v>
      </c>
      <c r="I13" t="str">
        <v>WATER_TAB_REFACTOR_v1</v>
      </c>
      <c r="J13" t="str">
        <v>FALSE</v>
      </c>
      <c r="K13" t="str">
        <v>dep_v1</v>
      </c>
    </row>
    <row r="14">
      <c r="A14" t="str">
        <v>W_ALTERNATE_DEPENDS_ON_POWER</v>
      </c>
      <c r="B14" t="str">
        <v>WATER</v>
      </c>
      <c r="C14" t="str">
        <v>The alternate water source depends on commercial power or another external service, which may limit its availability during outages.</v>
      </c>
      <c r="D14" t="str">
        <v>Consider identifying dependencies required for the alternate source to function (power, controls, access).</v>
      </c>
      <c r="E14" t="str">
        <v>Consider aligning backup power priorities to support the alternate source for critical periods if feasible.</v>
      </c>
      <c r="F14" t="str">
        <v/>
      </c>
      <c r="G14" t="str">
        <v/>
      </c>
      <c r="H14" t="str">
        <v>OTHER</v>
      </c>
      <c r="I14" t="str">
        <v>WATER_TAB_REFACTOR_v1</v>
      </c>
      <c r="J14" t="str">
        <v>FALSE</v>
      </c>
      <c r="K14" t="str">
        <v>dep_v1</v>
      </c>
    </row>
    <row r="15">
      <c r="A15" t="str">
        <v>W_FIRE_NO_BACKUP_SUPPLY</v>
      </c>
      <c r="B15" t="str">
        <v>WATER</v>
      </c>
      <c r="C15" t="str">
        <v>Water-based fire suppression depends on water service, and no secondary supply approach has been identified if water pressure/supply is lost.</v>
      </c>
      <c r="D15" t="str">
        <v>Consider evaluating whether a secondary supply approach is needed to support fire suppression resilience.</v>
      </c>
      <c r="E15" t="str">
        <v>Consider documenting how fire protection capability changes during water disruption and what operational decisions follow.</v>
      </c>
      <c r="F15" t="str">
        <v/>
      </c>
      <c r="G15" t="str">
        <v/>
      </c>
      <c r="H15" t="str">
        <v>OTHER</v>
      </c>
      <c r="I15" t="str">
        <v>WATER_TAB_REFACTOR_v1</v>
      </c>
      <c r="J15" t="str">
        <v>FALSE</v>
      </c>
      <c r="K15" t="str">
        <v>dep_v1</v>
      </c>
    </row>
    <row r="16">
      <c r="A16" t="str">
        <v>W_FIRE_IMPACT_NOT_EVALUATED</v>
      </c>
      <c r="B16" t="str">
        <v>WATER</v>
      </c>
      <c r="C16" t="str">
        <v>The facility has not evaluated operational impacts if fire suppression water is unavailable during prolonged disruption.</v>
      </c>
      <c r="D16" t="str">
        <v>Consider documenting impacts and decision points that could affect occupancy or operations during water disruption.</v>
      </c>
      <c r="E16" t="str">
        <v>Consider aligning continuity planning with those decision points.</v>
      </c>
      <c r="F16" t="str">
        <v/>
      </c>
      <c r="G16" t="str">
        <v/>
      </c>
      <c r="H16" t="str">
        <v>OTHER</v>
      </c>
      <c r="I16" t="str">
        <v>WATER_TAB_REFACTOR_v1</v>
      </c>
      <c r="J16" t="str">
        <v>FALSE</v>
      </c>
      <c r="K16" t="str">
        <v>dep_v1</v>
      </c>
    </row>
    <row r="17">
      <c r="A17" t="str">
        <v>W_PUMP_NO_BACKUP_POWER</v>
      </c>
      <c r="B17" t="str">
        <v>WATER</v>
      </c>
      <c r="C17" t="str">
        <v>Onsite water pumping/boosting depends on commercial power without backup power, increasing disruption risk during outages.</v>
      </c>
      <c r="D17" t="str">
        <v>Consider evaluating whether existing backup power can support water pumping/boosting for critical periods.</v>
      </c>
      <c r="E17" t="str">
        <v>Consider documenting priority loads and minimum runtime needed to maintain usable pressure/supply.</v>
      </c>
      <c r="F17" t="str">
        <v/>
      </c>
      <c r="G17" t="str">
        <v/>
      </c>
      <c r="H17" t="str">
        <v>OTHER</v>
      </c>
      <c r="I17" t="str">
        <v>WATER_TAB_REFACTOR_v1</v>
      </c>
      <c r="J17" t="str">
        <v>FALSE</v>
      </c>
      <c r="K17" t="str">
        <v>dep_v1</v>
      </c>
    </row>
    <row r="18">
      <c r="A18" t="str">
        <v>W_PUMP_NO_MANUAL_OVERRIDE</v>
      </c>
      <c r="B18" t="str">
        <v>WATER</v>
      </c>
      <c r="C18" t="str">
        <v>Onsite water pumping/boosting cannot be manually overridden if automation fails, which may increase the likelihood of service interruption.</v>
      </c>
      <c r="D18" t="str">
        <v>Consider confirming whether a manual operating method exists and documenting procedures for controlled operation during control failures.</v>
      </c>
      <c r="E18" t="str">
        <v>Consider identifying staff roles and access needs to safely operate or isolate the system during abnormal conditions.</v>
      </c>
      <c r="F18" t="str">
        <v/>
      </c>
      <c r="G18" t="str">
        <v/>
      </c>
      <c r="H18" t="str">
        <v>OTHER</v>
      </c>
      <c r="I18" t="str">
        <v>WATER_TAB_REFACTOR_v1</v>
      </c>
      <c r="J18" t="str">
        <v>FALSE</v>
      </c>
      <c r="K18" t="str">
        <v>dep_v1</v>
      </c>
    </row>
    <row r="19">
      <c r="A19" t="str">
        <v>W_PUMP_NO_ALARMING</v>
      </c>
      <c r="B19" t="str">
        <v>WATER</v>
      </c>
      <c r="C19" t="str">
        <v>The facility lacks a method to detect/alert on pump failure, low pressure, or storage depletion, which may delay response and increase impacts.</v>
      </c>
      <c r="D19" t="str">
        <v>Consider establishing a method to detect abnormal pump/pressure conditions and define response actions.</v>
      </c>
      <c r="E19" t="str">
        <v>Consider documenting who receives notifications and what thresholds trigger escalation.</v>
      </c>
      <c r="F19" t="str">
        <v/>
      </c>
      <c r="G19" t="str">
        <v/>
      </c>
      <c r="H19" t="str">
        <v>OTHER</v>
      </c>
      <c r="I19" t="str">
        <v>WATER_TAB_REFACTOR_v1</v>
      </c>
      <c r="J19" t="str">
        <v>FALSE</v>
      </c>
      <c r="K19" t="str">
        <v>dep_v1</v>
      </c>
    </row>
    <row r="20">
      <c r="A20" t="str">
        <v>W_PUMP_SINGLE_SOURCE_PARTS</v>
      </c>
      <c r="B20" t="str">
        <v>WATER</v>
      </c>
      <c r="C20" t="str">
        <v>The facility relies on a single source for critical onsite water pump/control components, which may extend downtime during failures.</v>
      </c>
      <c r="D20" t="str">
        <v>Consider identifying alternate sources for critical components and documenting lead-time assumptions.</v>
      </c>
      <c r="E20" t="str">
        <v>Consider documenting which components create the greatest restoration constraints and how operations would be adjusted while awaiting parts.</v>
      </c>
      <c r="F20" t="str">
        <v/>
      </c>
      <c r="G20" t="str">
        <v/>
      </c>
      <c r="H20" t="str">
        <v>OTHER</v>
      </c>
      <c r="I20" t="str">
        <v>WATER_TAB_REFACTOR_v1</v>
      </c>
      <c r="J20" t="str">
        <v>FALSE</v>
      </c>
      <c r="K20" t="str">
        <v>dep_v1</v>
      </c>
    </row>
    <row r="21">
      <c r="A21" t="str">
        <v>WW_SINGLE_CONN</v>
      </c>
      <c r="B21" t="str">
        <v>WASTEWATER</v>
      </c>
      <c r="C21" t="str">
        <v>The facility relies on a single wastewater service connection, creating a potential single point of failure. A disruption could degrade operations.</v>
      </c>
      <c r="D21" t="str">
        <v>Explore options with the wastewater utility/provider to understand redundancy feasibility or alternate routing options for service.</v>
      </c>
      <c r="E21" t="str">
        <v>Consider documenting internal priorities for wastewater-dependent operations during a disruption and identifying triggers for operational reduction.</v>
      </c>
      <c r="F21" t="str">
        <v>Consider confirming the physical location and protection of the service connection point and any critical onsite interface points.</v>
      </c>
      <c r="G21" t="str">
        <v/>
      </c>
      <c r="H21" t="str">
        <v>OTHER</v>
      </c>
      <c r="I21" t="str">
        <v>WASTEWATER_TAB_REFACTOR_v1</v>
      </c>
      <c r="J21" t="str">
        <v>FALSE</v>
      </c>
      <c r="K21" t="str">
        <v>dep_v1</v>
      </c>
    </row>
    <row r="22">
      <c r="A22" t="str">
        <v>WW_SHARED_ENTRY</v>
      </c>
      <c r="B22" t="str">
        <v>WASTEWATER</v>
      </c>
      <c r="C22" t="str">
        <v>Wastewater service connections enter/leave the site at the same geographic location, creating a potential single point of failure.</v>
      </c>
      <c r="D22" t="str">
        <v>Explore options to separate entry/exit locations for wastewater connections where feasible.</v>
      </c>
      <c r="E22" t="str">
        <v>Consider identifying and documenting the most likely local hazards that could affect the shared entry point (construction, flooding, vehicle impact).</v>
      </c>
      <c r="F22" t="str">
        <v/>
      </c>
      <c r="G22" t="str">
        <v/>
      </c>
      <c r="H22" t="str">
        <v>OTHER</v>
      </c>
      <c r="I22" t="str">
        <v>WASTEWATER_TAB_REFACTOR_v1</v>
      </c>
      <c r="J22" t="str">
        <v>FALSE</v>
      </c>
      <c r="K22" t="str">
        <v>dep_v1</v>
      </c>
    </row>
    <row r="23">
      <c r="A23" t="str">
        <v>WW_COLOCATED_CORRIDOR</v>
      </c>
      <c r="B23" t="str">
        <v>WASTEWATER</v>
      </c>
      <c r="C23" t="str">
        <v>Wastewater service components are collocated with other utilities, increasing the likelihood a single incident disrupts multiple services.</v>
      </c>
      <c r="D23" t="str">
        <v>Explore options to reduce single-corridor dependency where feasible.</v>
      </c>
      <c r="E23" t="str">
        <v>Consider coordinating with utilities to understand corridor risk management practices and restoration sequencing.</v>
      </c>
      <c r="F23" t="str">
        <v/>
      </c>
      <c r="G23" t="str">
        <v/>
      </c>
      <c r="H23" t="str">
        <v>OTHER</v>
      </c>
      <c r="I23" t="str">
        <v>WASTEWATER_TAB_REFACTOR_v1</v>
      </c>
      <c r="J23" t="str">
        <v>FALSE</v>
      </c>
      <c r="K23" t="str">
        <v>dep_v1</v>
      </c>
    </row>
    <row r="24">
      <c r="A24" t="str">
        <v>WW_UPSTREAM_UNKNOWN</v>
      </c>
      <c r="B24" t="str">
        <v>WASTEWATER</v>
      </c>
      <c r="C24" t="str">
        <v>The facility has not identified its wastewater provider and/or primary upstream dependencies supporting service, which may limit effective coordination during disruptions.</v>
      </c>
      <c r="D24" t="str">
        <v>Consider confirming the wastewater provider, key contacts, and upstream dependencies relevant to the site.</v>
      </c>
      <c r="E24" t="str">
        <v>Consider documenting notification expectations, outage reporting methods, and restoration information sources.</v>
      </c>
      <c r="F24" t="str">
        <v/>
      </c>
      <c r="G24" t="str">
        <v/>
      </c>
      <c r="H24" t="str">
        <v>OTHER</v>
      </c>
      <c r="I24" t="str">
        <v>WASTEWATER_TAB_REFACTOR_v1</v>
      </c>
      <c r="J24" t="str">
        <v>FALSE</v>
      </c>
      <c r="K24" t="str">
        <v>dep_v1</v>
      </c>
    </row>
    <row r="25">
      <c r="A25" t="str">
        <v>WW_NO_PRIORITY_RESTORATION</v>
      </c>
      <c r="B25" t="str">
        <v>WASTEWATER</v>
      </c>
      <c r="C25" t="str">
        <v>The facility does not participate in a priority or coordinated restoration plan with the wastewater provider, which may delay restoration during high-impact events.</v>
      </c>
      <c r="D25" t="str">
        <v>Consider discussing restoration prioritization criteria with the provider and documenting realistic expectations.</v>
      </c>
      <c r="E25" t="str">
        <v>Consider defining internal operational thresholds that would necessitate escalation or alternate continuity actions.</v>
      </c>
      <c r="F25" t="str">
        <v/>
      </c>
      <c r="G25" t="str">
        <v/>
      </c>
      <c r="H25" t="str">
        <v>OTHER</v>
      </c>
      <c r="I25" t="str">
        <v>WASTEWATER_TAB_REFACTOR_v1</v>
      </c>
      <c r="J25" t="str">
        <v>FALSE</v>
      </c>
      <c r="K25" t="str">
        <v>dep_v1</v>
      </c>
    </row>
    <row r="26">
      <c r="A26" t="str">
        <v>WW_NO_CONTINGENCY_PLAN</v>
      </c>
      <c r="B26" t="str">
        <v>WASTEWATER</v>
      </c>
      <c r="C26" t="str">
        <v>The facility does not have a documented contingency/coordination plan with the wastewater provider for extended disruption.</v>
      </c>
      <c r="D26" t="str">
        <v>Consider establishing and documenting points of contact, notification procedures, and escalation paths with the provider.</v>
      </c>
      <c r="E26" t="str">
        <v>Consider identifying site-specific conditions that would necessitate operational reduction to prevent overflow/backflow risk.</v>
      </c>
      <c r="F26" t="str">
        <v/>
      </c>
      <c r="G26" t="str">
        <v/>
      </c>
      <c r="H26" t="str">
        <v>OTHER</v>
      </c>
      <c r="I26" t="str">
        <v>WASTEWATER_TAB_REFACTOR_v1</v>
      </c>
      <c r="J26" t="str">
        <v>FALSE</v>
      </c>
      <c r="K26" t="str">
        <v>dep_v1</v>
      </c>
    </row>
    <row r="27">
      <c r="A27" t="str">
        <v>WW_PUMP_NO_BACKUP_POWER</v>
      </c>
      <c r="B27" t="str">
        <v>WASTEWATER</v>
      </c>
      <c r="C27" t="str">
        <v>Onsite wastewater pumping relies on commercial power without backup power, increasing the likelihood of overflow/backflow or operational disruption during outages.</v>
      </c>
      <c r="D27" t="str">
        <v>Consider evaluating whether existing backup power capabilities can support wastewater pumping for critical periods.</v>
      </c>
      <c r="E27" t="str">
        <v>Consider documenting priority loads and minimum runtime needed to prevent wastewater system failure during outages.</v>
      </c>
      <c r="F27" t="str">
        <v/>
      </c>
      <c r="G27" t="str">
        <v/>
      </c>
      <c r="H27" t="str">
        <v>OTHER</v>
      </c>
      <c r="I27" t="str">
        <v>WASTEWATER_TAB_REFACTOR_v1</v>
      </c>
      <c r="J27" t="str">
        <v>FALSE</v>
      </c>
      <c r="K27" t="str">
        <v>dep_v1</v>
      </c>
    </row>
    <row r="28">
      <c r="A28" t="str">
        <v>WW_PUMP_NO_MANUAL_OVERRIDE</v>
      </c>
      <c r="B28" t="str">
        <v>WASTEWATER</v>
      </c>
      <c r="C28" t="str">
        <v>Onsite wastewater pumping cannot be manually overridden if automation fails, which may increase the likelihood of service interruption or overflow.</v>
      </c>
      <c r="D28" t="str">
        <v>Consider confirming whether a manual operating method exists and documenting procedures for controlled operation during control failures.</v>
      </c>
      <c r="E28" t="str">
        <v>Consider identifying staff roles and access needs to safely operate or isolate the system during abnormal conditions.</v>
      </c>
      <c r="F28" t="str">
        <v/>
      </c>
      <c r="G28" t="str">
        <v/>
      </c>
      <c r="H28" t="str">
        <v>OTHER</v>
      </c>
      <c r="I28" t="str">
        <v>WASTEWATER_TAB_REFACTOR_v1</v>
      </c>
      <c r="J28" t="str">
        <v>FALSE</v>
      </c>
      <c r="K28" t="str">
        <v>dep_v1</v>
      </c>
    </row>
    <row r="29">
      <c r="A29" t="str">
        <v>WW_PUMP_NO_ALARMING</v>
      </c>
      <c r="B29" t="str">
        <v>WASTEWATER</v>
      </c>
      <c r="C29" t="str">
        <v>The facility lacks a method to detect/alert on pump failure, high level, or backflow risk, which may delay response and increase impacts.</v>
      </c>
      <c r="D29" t="str">
        <v>Consider establishing a method to detect abnormal pump or level conditions and define response actions.</v>
      </c>
      <c r="E29" t="str">
        <v>Consider documenting who receives notifications and what thresholds trigger escalation.</v>
      </c>
      <c r="F29" t="str">
        <v/>
      </c>
      <c r="G29" t="str">
        <v/>
      </c>
      <c r="H29" t="str">
        <v>OTHER</v>
      </c>
      <c r="I29" t="str">
        <v>WASTEWATER_TAB_REFACTOR_v1</v>
      </c>
      <c r="J29" t="str">
        <v>FALSE</v>
      </c>
      <c r="K29" t="str">
        <v>dep_v1</v>
      </c>
    </row>
    <row r="30">
      <c r="A30" t="str">
        <v>WW_PUMP_SINGLE_SOURCE_PARTS</v>
      </c>
      <c r="B30" t="str">
        <v>WASTEWATER</v>
      </c>
      <c r="C30" t="str">
        <v>The facility relies on a single source for critical onsite wastewater pump components, which may extend downtime during failures.</v>
      </c>
      <c r="D30" t="str">
        <v>Consider identifying alternate sources for critical components and documenting lead-time assumptions.</v>
      </c>
      <c r="E30" t="str">
        <v>Consider documenting which components represent the longest restoration constraints and how operations would be adjusted while awaiting parts.</v>
      </c>
      <c r="F30" t="str">
        <v/>
      </c>
      <c r="G30" t="str">
        <v/>
      </c>
      <c r="H30" t="str">
        <v>OTHER</v>
      </c>
      <c r="I30" t="str">
        <v>WASTEWATER_TAB_REFACTOR_v1</v>
      </c>
      <c r="J30" t="str">
        <v>FALSE</v>
      </c>
      <c r="K30" t="str">
        <v>dep_v1</v>
      </c>
    </row>
    <row r="31">
      <c r="A31" t="str">
        <v>WW_NO_HOLDING_CAPACITY</v>
      </c>
      <c r="B31" t="str">
        <v>WASTEWATER</v>
      </c>
      <c r="C31" t="str">
        <v>The facility lacks temporary holding/containment capability to prevent overflow/backflow during wastewater service disruption, which may force shutdown.</v>
      </c>
      <c r="D31" t="str">
        <v>Consider documenting operational actions that reduce wastewater generation during disruptions and the thresholds that trigger these actions.</v>
      </c>
      <c r="E31" t="str">
        <v>Consider evaluating whether any temporary containment/holding approaches are feasible for short-duration disruptions.</v>
      </c>
      <c r="F31" t="str">
        <v/>
      </c>
      <c r="G31" t="str">
        <v/>
      </c>
      <c r="H31" t="str">
        <v>OTHER</v>
      </c>
      <c r="I31" t="str">
        <v>WASTEWATER_TAB_REFACTOR_v1</v>
      </c>
      <c r="J31" t="str">
        <v>FALSE</v>
      </c>
      <c r="K31" t="str">
        <v>dep_v1</v>
      </c>
    </row>
    <row r="32">
      <c r="A32" t="str">
        <v>WW_CONSTRAINTS_NOT_EVALUATED</v>
      </c>
      <c r="B32" t="str">
        <v>WASTEWATER</v>
      </c>
      <c r="C32" t="str">
        <v>The facility has not evaluated regulatory/operational constraints that could force shutdown during prolonged wastewater disruption.</v>
      </c>
      <c r="D32" t="str">
        <v>Consider documenting constraints and the decision points that would necessitate operational reduction or shutdown.</v>
      </c>
      <c r="E32" t="str">
        <v>Consider aligning internal continuity plans with those constraints to avoid uncontrolled overflow/backflow outcomes.</v>
      </c>
      <c r="F32" t="str">
        <v/>
      </c>
      <c r="G32" t="str">
        <v/>
      </c>
      <c r="H32" t="str">
        <v>OTHER</v>
      </c>
      <c r="I32" t="str">
        <v>WASTEWATER_TAB_REFACTOR_v1</v>
      </c>
      <c r="J32" t="str">
        <v>FALSE</v>
      </c>
      <c r="K32" t="str">
        <v>dep_v1</v>
      </c>
    </row>
  </sheetData>
  <ignoredErrors>
    <ignoredError numberStoredAsText="1" sqref="A1:K32"/>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11</vt:i4>
      </vt:variant>
    </vt:vector>
  </HeadingPairs>
  <TitlesOfParts>
    <vt:vector size="11" baseType="lpstr">
      <vt:lpstr>Overview</vt:lpstr>
      <vt:lpstr>Asset Information</vt:lpstr>
      <vt:lpstr>Electric Power</vt:lpstr>
      <vt:lpstr>Communication</vt:lpstr>
      <vt:lpstr>Information Technology</vt:lpstr>
      <vt:lpstr>Critical Products</vt:lpstr>
      <vt:lpstr>Water</vt:lpstr>
      <vt:lpstr>Wastewater</vt:lpstr>
      <vt:lpstr>Formulas_Dont Delete</vt:lpstr>
      <vt:lpstr>Formulas_Dont Delete2</vt:lpstr>
      <vt:lpstr>DEPENDENCY_VOFC_LOCAL</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2023-08-22T15:00:51Z</dcterms:created>
  <dcterms:modified xsi:type="dcterms:W3CDTF">2026-02-04T19:26:23Z</dcterms:modified>
  <cp:lastModifiedBy>Williams, Zachary</cp:lastModifiedBy>
  <dc:creator>WILLIAMS, ZACHARY</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3b2808d-fdcd-4b04-ae30-a55cfb76acbc_Enabled">
    <vt:lpwstr>true</vt:lpwstr>
  </property>
  <property fmtid="{D5CDD505-2E9C-101B-9397-08002B2CF9AE}" pid="3" name="MSIP_Label_f3b2808d-fdcd-4b04-ae30-a55cfb76acbc_SetDate">
    <vt:lpwstr>2025-04-01T17:27:32Z</vt:lpwstr>
  </property>
  <property fmtid="{D5CDD505-2E9C-101B-9397-08002B2CF9AE}" pid="4" name="MSIP_Label_f3b2808d-fdcd-4b04-ae30-a55cfb76acbc_Method">
    <vt:lpwstr>Privileged</vt:lpwstr>
  </property>
  <property fmtid="{D5CDD505-2E9C-101B-9397-08002B2CF9AE}" pid="5" name="MSIP_Label_f3b2808d-fdcd-4b04-ae30-a55cfb76acbc_Name">
    <vt:lpwstr>All Users (Unprotected)</vt:lpwstr>
  </property>
  <property fmtid="{D5CDD505-2E9C-101B-9397-08002B2CF9AE}" pid="6" name="MSIP_Label_f3b2808d-fdcd-4b04-ae30-a55cfb76acbc_SiteId">
    <vt:lpwstr>69c613d2-b051-4234-8ed1-fd530b70d5d3</vt:lpwstr>
  </property>
  <property fmtid="{D5CDD505-2E9C-101B-9397-08002B2CF9AE}" pid="7" name="MSIP_Label_f3b2808d-fdcd-4b04-ae30-a55cfb76acbc_ActionId">
    <vt:lpwstr>389297bf-4728-4e52-a44f-8439f8b47646</vt:lpwstr>
  </property>
  <property fmtid="{D5CDD505-2E9C-101B-9397-08002B2CF9AE}" pid="8" name="MSIP_Label_f3b2808d-fdcd-4b04-ae30-a55cfb76acbc_ContentBits">
    <vt:lpwstr>0</vt:lpwstr>
  </property>
</Properties>
</file>
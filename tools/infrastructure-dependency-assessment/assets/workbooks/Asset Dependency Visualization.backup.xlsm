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omments2.xml" ContentType="application/vnd.openxmlformats-officedocument.spreadsheetml.comment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omments4.xml" ContentType="application/vnd.openxmlformats-officedocument.spreadsheetml.comment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xml"/>
  <Override PartName="/xl/comments5.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8.xml" ContentType="application/vnd.openxmlformats-officedocument.drawing+xml"/>
  <Override PartName="/xl/comments6.xml" ContentType="application/vnd.openxmlformats-officedocument.spreadsheetml.comment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9.xml" ContentType="application/vnd.openxmlformats-officedocument.drawing+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codeName="ThisWorkbook" hidePivotFieldList="1" defaultThemeVersion="166925"/>
  <mc:AlternateContent xmlns:mc="http://schemas.openxmlformats.org/markup-compatibility/2006">
    <mc:Choice Requires="x15">
      <x15ac:absPath xmlns:x15ac="http://schemas.microsoft.com/office/spreadsheetml/2010/11/ac" url="https://ociocisa-my.sharepoint.com/personal/zachary_williams_cisa_gov/Documents/Desktop/Major Projects/Pilot Material/Enterprise Criticality Assessment/FINAL DOCUMENTS_ZACH Version 2/"/>
    </mc:Choice>
  </mc:AlternateContent>
  <xr:revisionPtr revIDLastSave="134" documentId="8_{FF5F0B62-BE36-42D5-985C-EC8618861744}" xr6:coauthVersionLast="47" xr6:coauthVersionMax="47" xr10:uidLastSave="{CC2B6C64-A093-444D-8845-6C369DC3922C}"/>
  <bookViews>
    <workbookView xWindow="28680" yWindow="-120" windowWidth="29040" windowHeight="15720" firstSheet="2" activeTab="7" xr2:uid="{E433165E-0129-4528-948F-D0FE4CDCB363}"/>
  </bookViews>
  <sheets>
    <sheet name="Overview" sheetId="5" r:id="rId1"/>
    <sheet name="Asset Information" sheetId="3" r:id="rId2"/>
    <sheet name="Electric Power" sheetId="4" r:id="rId3"/>
    <sheet name="Communication" sheetId="9" r:id="rId4"/>
    <sheet name="Information Technology" sheetId="6" r:id="rId5"/>
    <sheet name="Critical Products" sheetId="7" r:id="rId6"/>
    <sheet name="Water" sheetId="10" r:id="rId7"/>
    <sheet name="Wastewater" sheetId="11" r:id="rId8"/>
    <sheet name="Formulas_Dont Delete" sheetId="2" r:id="rId9"/>
    <sheet name="Formulas_Dont Delete2" sheetId="12" r:id="rId10"/>
  </sheets>
  <definedNames>
    <definedName name="_xleta.IF" hidden="1" xlm="1">#NAME?</definedName>
    <definedName name="_xleta.POWER"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0" i="2" l="1"/>
  <c r="E26" i="2"/>
  <c r="AT25" i="2" a="1"/>
  <c r="AT25" i="2" s="1"/>
  <c r="AO26" i="2" s="1"/>
  <c r="E27" i="2" s="1"/>
  <c r="AO33" i="2"/>
  <c r="E19" i="2"/>
  <c r="AJ41" i="2"/>
  <c r="AI41" i="2"/>
  <c r="AH41" i="2"/>
  <c r="AG41" i="2"/>
  <c r="AF41" i="2"/>
  <c r="AE41" i="2"/>
  <c r="AD41" i="2"/>
  <c r="AC41" i="2"/>
  <c r="AJ40" i="2"/>
  <c r="AI40" i="2"/>
  <c r="AH40" i="2"/>
  <c r="AG40" i="2"/>
  <c r="AF40" i="2"/>
  <c r="AE40" i="2"/>
  <c r="AD40" i="2"/>
  <c r="AC40" i="2"/>
  <c r="AB40" i="2"/>
  <c r="AB41" i="2"/>
  <c r="AZ41" i="2"/>
  <c r="AZ34" i="2"/>
  <c r="AH34" i="2" s="1"/>
  <c r="AZ27" i="2"/>
  <c r="AZ6" i="2"/>
  <c r="AJ6" i="2" s="1"/>
  <c r="AZ13" i="2"/>
  <c r="AZ20" i="2"/>
  <c r="AE12" i="2"/>
  <c r="AF12" i="2"/>
  <c r="AG12" i="2"/>
  <c r="AH12" i="2"/>
  <c r="AI12" i="2"/>
  <c r="AJ12" i="2"/>
  <c r="AD33" i="2" l="1"/>
  <c r="AH33" i="2"/>
  <c r="AG33" i="2"/>
  <c r="AI33" i="2"/>
  <c r="AJ33" i="2"/>
  <c r="AF33" i="2"/>
  <c r="AI34" i="2"/>
  <c r="AE33" i="2"/>
  <c r="AJ34" i="2"/>
  <c r="AD34" i="2"/>
  <c r="AE34" i="2"/>
  <c r="AF34" i="2"/>
  <c r="AG34" i="2"/>
  <c r="AG26" i="2"/>
  <c r="AJ27" i="2"/>
  <c r="AH26" i="2"/>
  <c r="AI27" i="2"/>
  <c r="AI26" i="2"/>
  <c r="AJ26" i="2"/>
  <c r="AG27" i="2"/>
  <c r="AB26" i="2"/>
  <c r="AF27" i="2"/>
  <c r="AE27" i="2"/>
  <c r="AD27" i="2"/>
  <c r="AB27" i="2"/>
  <c r="AC26" i="2"/>
  <c r="AD26" i="2"/>
  <c r="AE26" i="2"/>
  <c r="AF26" i="2"/>
  <c r="AH27" i="2"/>
  <c r="AC27" i="2"/>
  <c r="AD12" i="2"/>
  <c r="AI20" i="2"/>
  <c r="AJ19" i="2"/>
  <c r="AH19" i="2"/>
  <c r="AF19" i="2"/>
  <c r="AD20" i="2"/>
  <c r="AE20" i="2"/>
  <c r="AF20" i="2"/>
  <c r="AG20" i="2"/>
  <c r="AH20" i="2"/>
  <c r="AJ20" i="2"/>
  <c r="AI19" i="2"/>
  <c r="AG19" i="2"/>
  <c r="AE19" i="2"/>
  <c r="AD19" i="2"/>
  <c r="AH5" i="2"/>
  <c r="AG6" i="2"/>
  <c r="AH6" i="2"/>
  <c r="AI6" i="2"/>
  <c r="AI5" i="2"/>
  <c r="AG5" i="2"/>
  <c r="AJ5" i="2"/>
  <c r="AC12" i="2"/>
  <c r="AC13" i="2"/>
  <c r="AH13" i="2"/>
  <c r="AD13" i="2"/>
  <c r="AE13" i="2"/>
  <c r="AI13" i="2"/>
  <c r="AG13" i="2"/>
  <c r="AF13" i="2"/>
  <c r="AT18" i="2" a="1"/>
  <c r="AT18" i="2" s="1"/>
  <c r="AO19" i="2" s="1"/>
  <c r="AT11" i="2" a="1"/>
  <c r="AT11" i="2" s="1"/>
  <c r="AO12" i="2" s="1"/>
  <c r="AT39" i="2" a="1"/>
  <c r="AT39" i="2" s="1"/>
  <c r="AO40" i="2" s="1"/>
  <c r="AT32" i="2" a="1"/>
  <c r="AT32" i="2" s="1"/>
  <c r="AQ32" i="2" a="1"/>
  <c r="AQ32" i="2" s="1"/>
  <c r="AO32" i="2" s="1"/>
  <c r="AQ18" i="2" a="1"/>
  <c r="AQ18" i="2" s="1"/>
  <c r="AO18" i="2" s="1"/>
  <c r="AB19" i="2" s="1"/>
  <c r="AQ11" i="2" a="1"/>
  <c r="AQ11" i="2" s="1"/>
  <c r="AO11" i="2" s="1"/>
  <c r="AA13" i="2" s="1"/>
  <c r="AQ4" i="2" a="1"/>
  <c r="AQ4" i="2" s="1"/>
  <c r="AO4" i="2" s="1"/>
  <c r="AB6" i="2" s="1"/>
  <c r="AQ39" i="2" a="1"/>
  <c r="AQ39" i="2" s="1"/>
  <c r="AO39" i="2" s="1"/>
  <c r="AQ25" i="2" a="1"/>
  <c r="AQ25" i="2" s="1"/>
  <c r="AO25" i="2" s="1"/>
  <c r="F26" i="2" s="1"/>
  <c r="G26" i="2" s="1"/>
  <c r="H26" i="2" s="1"/>
  <c r="I26" i="2" s="1"/>
  <c r="J26" i="2" s="1"/>
  <c r="K26" i="2" s="1"/>
  <c r="L26" i="2" s="1"/>
  <c r="M26" i="2" s="1"/>
  <c r="N26" i="2" s="1"/>
  <c r="O26" i="2" s="1"/>
  <c r="P26" i="2" s="1"/>
  <c r="Q26" i="2" s="1"/>
  <c r="R26" i="2" s="1"/>
  <c r="S26" i="2" s="1"/>
  <c r="T26" i="2" s="1"/>
  <c r="U26" i="2" s="1"/>
  <c r="V26" i="2" s="1"/>
  <c r="W26" i="2" s="1"/>
  <c r="X26" i="2" s="1"/>
  <c r="Y26" i="2" s="1"/>
  <c r="Z26" i="2" s="1"/>
  <c r="AA26" i="2" s="1"/>
  <c r="AT4" i="2" a="1"/>
  <c r="AT4" i="2" s="1"/>
  <c r="AO5" i="2" s="1"/>
  <c r="AB33" i="2" l="1"/>
  <c r="F34" i="2"/>
  <c r="E34" i="2"/>
  <c r="AD5" i="2"/>
  <c r="AC5" i="2"/>
  <c r="AF5" i="2"/>
  <c r="AE6" i="2"/>
  <c r="AD6" i="2"/>
  <c r="AC6" i="2"/>
  <c r="AF6" i="2"/>
  <c r="AE5" i="2"/>
  <c r="E40" i="2"/>
  <c r="F40" i="2" s="1"/>
  <c r="G40" i="2" s="1"/>
  <c r="H40" i="2" s="1"/>
  <c r="I40" i="2" s="1"/>
  <c r="J40" i="2" s="1"/>
  <c r="K40" i="2" s="1"/>
  <c r="L40" i="2" s="1"/>
  <c r="M40" i="2" s="1"/>
  <c r="N40" i="2" s="1"/>
  <c r="O40" i="2" s="1"/>
  <c r="P40" i="2" s="1"/>
  <c r="Q40" i="2" s="1"/>
  <c r="R40" i="2" s="1"/>
  <c r="S40" i="2" s="1"/>
  <c r="T40" i="2" s="1"/>
  <c r="U40" i="2" s="1"/>
  <c r="V40" i="2" s="1"/>
  <c r="W40" i="2" s="1"/>
  <c r="X40" i="2" s="1"/>
  <c r="Y40" i="2" s="1"/>
  <c r="Z40" i="2" s="1"/>
  <c r="AA40" i="2" s="1"/>
  <c r="S41" i="2"/>
  <c r="F41" i="2"/>
  <c r="T41" i="2"/>
  <c r="H41" i="2"/>
  <c r="V41" i="2"/>
  <c r="W41" i="2"/>
  <c r="J41" i="2"/>
  <c r="K41" i="2"/>
  <c r="Y41" i="2"/>
  <c r="M41" i="2"/>
  <c r="E41" i="2"/>
  <c r="O41" i="2"/>
  <c r="P41" i="2"/>
  <c r="R41" i="2"/>
  <c r="G41" i="2"/>
  <c r="U41" i="2"/>
  <c r="X41" i="2"/>
  <c r="Z41" i="2"/>
  <c r="N41" i="2"/>
  <c r="Q41" i="2"/>
  <c r="I41" i="2"/>
  <c r="L41" i="2"/>
  <c r="AA41" i="2"/>
  <c r="T34" i="2"/>
  <c r="V34" i="2"/>
  <c r="O34" i="2"/>
  <c r="R34" i="2"/>
  <c r="G34" i="2"/>
  <c r="U34" i="2"/>
  <c r="H34" i="2"/>
  <c r="Q34" i="2"/>
  <c r="S34" i="2"/>
  <c r="I34" i="2"/>
  <c r="W34" i="2"/>
  <c r="M34" i="2"/>
  <c r="P34" i="2"/>
  <c r="J34" i="2"/>
  <c r="X34" i="2"/>
  <c r="Z34" i="2"/>
  <c r="N34" i="2"/>
  <c r="K34" i="2"/>
  <c r="Y34" i="2"/>
  <c r="L34" i="2"/>
  <c r="AA34" i="2"/>
  <c r="AB13" i="2"/>
  <c r="Q27" i="2"/>
  <c r="J27" i="2"/>
  <c r="R27" i="2"/>
  <c r="S27" i="2"/>
  <c r="X27" i="2"/>
  <c r="F27" i="2"/>
  <c r="T27" i="2"/>
  <c r="K27" i="2"/>
  <c r="Z27" i="2"/>
  <c r="AA27" i="2"/>
  <c r="O27" i="2"/>
  <c r="G27" i="2"/>
  <c r="U27" i="2"/>
  <c r="M27" i="2"/>
  <c r="P27" i="2"/>
  <c r="H27" i="2"/>
  <c r="V27" i="2"/>
  <c r="Y27" i="2"/>
  <c r="L27" i="2"/>
  <c r="I27" i="2"/>
  <c r="W27" i="2"/>
  <c r="N27" i="2"/>
  <c r="AB12" i="2"/>
  <c r="AB34" i="2"/>
  <c r="E33" i="2"/>
  <c r="F33" i="2" s="1"/>
  <c r="G33" i="2" s="1"/>
  <c r="H33" i="2" s="1"/>
  <c r="I33" i="2" s="1"/>
  <c r="J33" i="2" s="1"/>
  <c r="K33" i="2" s="1"/>
  <c r="L33" i="2" s="1"/>
  <c r="M33" i="2" s="1"/>
  <c r="N33" i="2" s="1"/>
  <c r="O33" i="2" s="1"/>
  <c r="P33" i="2" s="1"/>
  <c r="Q33" i="2" s="1"/>
  <c r="R33" i="2" s="1"/>
  <c r="S33" i="2" s="1"/>
  <c r="T33" i="2" s="1"/>
  <c r="U33" i="2" s="1"/>
  <c r="V33" i="2" s="1"/>
  <c r="W33" i="2" s="1"/>
  <c r="X33" i="2" s="1"/>
  <c r="Y33" i="2" s="1"/>
  <c r="Z33" i="2" s="1"/>
  <c r="AA33" i="2" s="1"/>
  <c r="AC33" i="2"/>
  <c r="AC34" i="2"/>
  <c r="AB20" i="2"/>
  <c r="AC19" i="2"/>
  <c r="AC20" i="2"/>
  <c r="E12" i="2"/>
  <c r="F12" i="2" s="1"/>
  <c r="G12" i="2" s="1"/>
  <c r="H12" i="2" s="1"/>
  <c r="I12" i="2" s="1"/>
  <c r="J12" i="2" s="1"/>
  <c r="K12" i="2" s="1"/>
  <c r="L12" i="2" s="1"/>
  <c r="M12" i="2" s="1"/>
  <c r="N12" i="2" s="1"/>
  <c r="O12" i="2" s="1"/>
  <c r="P12" i="2" s="1"/>
  <c r="Q12" i="2" s="1"/>
  <c r="R12" i="2" s="1"/>
  <c r="S12" i="2" s="1"/>
  <c r="T12" i="2" s="1"/>
  <c r="U12" i="2" s="1"/>
  <c r="V12" i="2" s="1"/>
  <c r="W12" i="2" s="1"/>
  <c r="X12" i="2" s="1"/>
  <c r="Y12" i="2" s="1"/>
  <c r="Z12" i="2" s="1"/>
  <c r="AA12" i="2" s="1"/>
  <c r="J13" i="2"/>
  <c r="N6" i="2"/>
  <c r="O6" i="2"/>
  <c r="R6" i="2"/>
  <c r="S6" i="2"/>
  <c r="V6" i="2"/>
  <c r="W6" i="2"/>
  <c r="L6" i="2"/>
  <c r="M6" i="2"/>
  <c r="P6" i="2"/>
  <c r="Q6" i="2"/>
  <c r="T6" i="2"/>
  <c r="U6" i="2"/>
  <c r="X6" i="2"/>
  <c r="Y6" i="2"/>
  <c r="Z6" i="2"/>
  <c r="AA6" i="2"/>
  <c r="F6" i="2"/>
  <c r="G6" i="2"/>
  <c r="K6" i="2"/>
  <c r="I6" i="2"/>
  <c r="E6" i="2"/>
  <c r="H6" i="2"/>
  <c r="J6" i="2"/>
  <c r="F19" i="2"/>
  <c r="G19" i="2" s="1"/>
  <c r="H19" i="2" s="1"/>
  <c r="I19" i="2" s="1"/>
  <c r="J19" i="2" s="1"/>
  <c r="K19" i="2" s="1"/>
  <c r="L19" i="2" s="1"/>
  <c r="M19" i="2" s="1"/>
  <c r="N19" i="2" s="1"/>
  <c r="O19" i="2" s="1"/>
  <c r="P19" i="2" s="1"/>
  <c r="Q19" i="2" s="1"/>
  <c r="R19" i="2" s="1"/>
  <c r="S19" i="2" s="1"/>
  <c r="T19" i="2" s="1"/>
  <c r="U19" i="2" s="1"/>
  <c r="V19" i="2" s="1"/>
  <c r="W19" i="2" s="1"/>
  <c r="X19" i="2" s="1"/>
  <c r="Y19" i="2" s="1"/>
  <c r="Z19" i="2" s="1"/>
  <c r="AA19" i="2" s="1"/>
  <c r="R20" i="2"/>
  <c r="F20" i="2"/>
  <c r="T20" i="2"/>
  <c r="G20" i="2"/>
  <c r="U20" i="2"/>
  <c r="I20" i="2"/>
  <c r="J20" i="2"/>
  <c r="X20" i="2"/>
  <c r="Y20" i="2"/>
  <c r="Z20" i="2"/>
  <c r="N20" i="2"/>
  <c r="Q20" i="2"/>
  <c r="S20" i="2"/>
  <c r="W20" i="2"/>
  <c r="L20" i="2"/>
  <c r="M20" i="2"/>
  <c r="P20" i="2"/>
  <c r="H20" i="2"/>
  <c r="V20" i="2"/>
  <c r="K20" i="2"/>
  <c r="AA20" i="2"/>
  <c r="O20" i="2"/>
  <c r="L13" i="2"/>
  <c r="Z13" i="2"/>
  <c r="M13" i="2"/>
  <c r="N13" i="2"/>
  <c r="O13" i="2"/>
  <c r="P13" i="2"/>
  <c r="Q13" i="2"/>
  <c r="R13" i="2"/>
  <c r="S13" i="2"/>
  <c r="T13" i="2"/>
  <c r="U13" i="2"/>
  <c r="V13" i="2"/>
  <c r="W13" i="2"/>
  <c r="X13" i="2"/>
  <c r="Y13" i="2"/>
  <c r="G13" i="2"/>
  <c r="H13" i="2"/>
  <c r="K13" i="2"/>
  <c r="I13" i="2"/>
  <c r="E13" i="2"/>
  <c r="F13" i="2"/>
  <c r="E5" i="2"/>
  <c r="F5" i="2" l="1"/>
  <c r="G5" i="2" s="1"/>
  <c r="H5" i="2" s="1"/>
  <c r="I5" i="2" s="1"/>
  <c r="J5" i="2" s="1"/>
  <c r="K5" i="2" s="1"/>
  <c r="L5" i="2" s="1"/>
  <c r="M5" i="2" s="1"/>
  <c r="N5" i="2" s="1"/>
  <c r="O5" i="2" s="1"/>
  <c r="P5" i="2" s="1"/>
  <c r="Q5" i="2" s="1"/>
  <c r="R5" i="2" s="1"/>
  <c r="S5" i="2" s="1"/>
  <c r="T5" i="2" s="1"/>
  <c r="U5" i="2" s="1"/>
  <c r="V5" i="2" s="1"/>
  <c r="W5" i="2" s="1"/>
  <c r="X5" i="2" s="1"/>
  <c r="Y5" i="2" s="1"/>
  <c r="Z5" i="2" s="1"/>
  <c r="AA5" i="2" l="1"/>
  <c r="AB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WILLIAMS, ZACHARY</author>
  </authors>
  <commentList>
    <comment ref="D28" authorId="0" shapeId="0" xr:uid="{9928E61C-ED01-4DD1-9307-A8EF84550A13}">
      <text>
        <r>
          <rPr>
            <sz val="9"/>
            <color indexed="81"/>
            <rFont val="Tahoma"/>
            <family val="2"/>
          </rPr>
          <t>(For the use of the graph, convert everything to hours. Round down to the nearest whole hour. If less than one hour, input "Zero")</t>
        </r>
      </text>
    </comment>
    <comment ref="D58" authorId="0" shapeId="0" xr:uid="{112C9A0B-355F-49AE-9FA5-050CB3002B33}">
      <text>
        <r>
          <rPr>
            <sz val="9"/>
            <color indexed="81"/>
            <rFont val="Tahoma"/>
            <family val="2"/>
          </rPr>
          <t>(round down to the nearest whole hour. If less than one hour, input "Zero")</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WILLIAMS, ZACHARY</author>
  </authors>
  <commentList>
    <comment ref="D28" authorId="0" shapeId="0" xr:uid="{0E1E7D57-4E5C-45DD-A367-6F88C3720B58}">
      <text>
        <r>
          <rPr>
            <sz val="9"/>
            <color indexed="81"/>
            <rFont val="Tahoma"/>
            <family val="2"/>
          </rPr>
          <t>(For the use of the graph, convert everything to hours. Round down to the nearest whole hour. If less than one hour, input "Zero")</t>
        </r>
      </text>
    </comment>
    <comment ref="D55" authorId="0" shapeId="0" xr:uid="{FD0487D7-8651-4B70-AA97-A1CC4B9EA32A}">
      <text>
        <r>
          <rPr>
            <sz val="9"/>
            <color indexed="81"/>
            <rFont val="Tahoma"/>
            <family val="2"/>
          </rPr>
          <t>(round down to the nearest whole hour. If less than one hour, input "Zero")</t>
        </r>
        <r>
          <rPr>
            <b/>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WILLIAMS, ZACHARY</author>
  </authors>
  <commentList>
    <comment ref="D28" authorId="0" shapeId="0" xr:uid="{A354AC80-25E1-4EA4-98A3-7EACDCB3D9EC}">
      <text>
        <r>
          <rPr>
            <sz val="9"/>
            <color indexed="81"/>
            <rFont val="Tahoma"/>
            <family val="2"/>
          </rPr>
          <t>(For the use of the graph, convert everything to hours. Round down to the nearest whole hour. If less than one hour, input "Zero")</t>
        </r>
      </text>
    </comment>
    <comment ref="D55" authorId="0" shapeId="0" xr:uid="{D06355D9-A910-4942-AF5B-1E4031FA66B2}">
      <text>
        <r>
          <rPr>
            <sz val="9"/>
            <color indexed="81"/>
            <rFont val="Tahoma"/>
            <family val="2"/>
          </rPr>
          <t>(round down to the nearest whole hour. If less than one hour, input "Zero")</t>
        </r>
        <r>
          <rPr>
            <b/>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WILLIAMS, ZACHARY</author>
  </authors>
  <commentList>
    <comment ref="D28" authorId="0" shapeId="0" xr:uid="{A16816ED-3959-4235-A4A5-AD73E51E0385}">
      <text>
        <r>
          <rPr>
            <sz val="9"/>
            <color indexed="81"/>
            <rFont val="Tahoma"/>
            <family val="2"/>
          </rPr>
          <t>(For the use of the graph, convert everything to hours. Round down to the nearest whole hour. If less than one hour, input "Zero")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WILLIAMS, ZACHARY</author>
    <author>Williams, Zachary</author>
  </authors>
  <commentList>
    <comment ref="D28" authorId="0" shapeId="0" xr:uid="{06CD3BAA-CAEA-45FD-8960-DD1E88469EA3}">
      <text>
        <r>
          <rPr>
            <sz val="9"/>
            <color indexed="81"/>
            <rFont val="Tahoma"/>
            <family val="2"/>
          </rPr>
          <t>(For the use of the graph, convert everything to hours. Round down to the nearest whole hour. If less than one hour, input "Zero")</t>
        </r>
      </text>
    </comment>
    <comment ref="H43" authorId="1" shapeId="0" xr:uid="{5CB4A260-1DD9-4254-ABF0-09A191A37123}">
      <text>
        <r>
          <rPr>
            <sz val="9"/>
            <color indexed="81"/>
            <rFont val="Tahoma"/>
            <charset val="1"/>
          </rPr>
          <t>Backup might be something like a well on site, or warehouse of palleted water that could be used. If the facility has to procure water through their EMA or vendor then they do NOT have an alternative source of water. The duration is attempting to understand how long they can operate with that alternative before there are significant impacts to operational capacity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WILLIAMS, ZACHARY</author>
  </authors>
  <commentList>
    <comment ref="D28" authorId="0" shapeId="0" xr:uid="{11298BEF-7670-4B70-A77E-351E50E6F15D}">
      <text>
        <r>
          <rPr>
            <sz val="9"/>
            <color indexed="81"/>
            <rFont val="Tahoma"/>
            <family val="2"/>
          </rPr>
          <t>(For the use of the graph, convert everything to hours. Round down to the nearest whole hour. If less than one hour, input "Zero")</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<sst xmlns="http://schemas.openxmlformats.org/spreadsheetml/2006/main" count="169" uniqueCount="85">
  <si>
    <t>ELECTRIC POWER</t>
  </si>
  <si>
    <t>Yes</t>
  </si>
  <si>
    <t>Is there a backup generator?</t>
  </si>
  <si>
    <t>Once electric supply is lost (and considering your backup or alternative mode), what percentage of normal business functions are lost or degraded?</t>
  </si>
  <si>
    <t>Time (Hours)</t>
  </si>
  <si>
    <t>FOR OFFICAL USE ONLY</t>
  </si>
  <si>
    <t>Electrical Power</t>
  </si>
  <si>
    <t>Time Before Impact without backup</t>
  </si>
  <si>
    <t>No</t>
  </si>
  <si>
    <t xml:space="preserve">If electric supply is lost (without considering any backup or alternative mode), how soon would the facility be severely impacted? </t>
  </si>
  <si>
    <t xml:space="preserve">Does the asset require electrical power for its core operations? </t>
  </si>
  <si>
    <t>% Impact without Backup and Duration of Backup</t>
  </si>
  <si>
    <t>Is there analternative or backup that can be used in the case of loss of electric source?</t>
  </si>
  <si>
    <t>Duration of backup generation without refueling (numerical value)</t>
  </si>
  <si>
    <t>Once electric supply is lost (without considering any backup or alternative mode), what percentage of normal business functions are lost or degraded? (percentage)</t>
  </si>
  <si>
    <t>Hours</t>
  </si>
  <si>
    <t xml:space="preserve">Once external service is restored, how long would it take before full resumption of operations? </t>
  </si>
  <si>
    <t>X=</t>
  </si>
  <si>
    <t>Y=</t>
  </si>
  <si>
    <t>How to inturept this data</t>
  </si>
  <si>
    <t xml:space="preserve">Asset Name: </t>
  </si>
  <si>
    <t xml:space="preserve">Notes: </t>
  </si>
  <si>
    <t xml:space="preserve">Visit Date: </t>
  </si>
  <si>
    <t>CISA POC:</t>
  </si>
  <si>
    <t>This dashboard allows owner/operators to visualize the dependency curves associated with their facility. This dashboard can be provided with other assessment products, or given as a standalone dependency analysis initative. The dependency chart(s) in this dashboard were generated for 72-hour external service outages. This time period was selected because it corresponds to the Federal Emergency Management Agency (FEMA) recommended preparedness duration for the general population and organizations in the event of an emergency resulting in the breakdown of major services.</t>
  </si>
  <si>
    <t>Communications:</t>
  </si>
  <si>
    <t>Information Technology:</t>
  </si>
  <si>
    <t xml:space="preserve">Asset Dependency Visualization </t>
  </si>
  <si>
    <t>Water</t>
  </si>
  <si>
    <t>Waste Water</t>
  </si>
  <si>
    <t>Communication</t>
  </si>
  <si>
    <t>Data/IT</t>
  </si>
  <si>
    <t>Critical Products</t>
  </si>
  <si>
    <t>Information Technology</t>
  </si>
  <si>
    <t>The amount of time the facility can operate the backup to Internet, such as a DSL connection. (If the facility can be fully operational continuously using this backup mode, then input 96 hours. For the data, round down to the nearest hour)</t>
  </si>
  <si>
    <t>Once information technology  system is lost (and considering your backup or alternative mode), what percentage of normal business functions are lost or degraded?</t>
  </si>
  <si>
    <t xml:space="preserve">Does the asset require a critical product for its core operations? </t>
  </si>
  <si>
    <t>Is there an alternate (e.g., onsite storage) to the source of chemicals?</t>
  </si>
  <si>
    <t>COMMUNICATION</t>
  </si>
  <si>
    <t>Wastewater</t>
  </si>
  <si>
    <t>WasteWater</t>
  </si>
  <si>
    <t>Don’t Delete This. Needed to calculate totals</t>
  </si>
  <si>
    <t>If external communication service is lost (without considering any backup or alternative mode), how soon would the facility be severely impacted?</t>
  </si>
  <si>
    <t>Once the facility has lost external communication service mode (without considering any backup or alternative mode), what percentage of normal business functions are lost or degraded?</t>
  </si>
  <si>
    <t>If primary mode of communication service is lost, is there a backup mode of communication?</t>
  </si>
  <si>
    <t>Once the facility has lost external communication service mode (and your backup or alternative is implemented) what percentage of normal business functions are lost or degraded?</t>
  </si>
  <si>
    <t>Is Information Technology required for Facility core operations (e.g., produce key services/goods)?</t>
  </si>
  <si>
    <t>If the information technology system is lost completely (and no backup is employed), within what time period would the facility be severely impacted?</t>
  </si>
  <si>
    <t>What percentage of normal functions are lost or degraded if no backup mode is used?</t>
  </si>
  <si>
    <t>If information technology service is lost, is there an alternative or backup mode?</t>
  </si>
  <si>
    <t>If critical chemical source(s) is lost (without considering any backup or alternative mode), how soon would the facility be severely impacted (e.g., more than 50% reduction in facility operations)?</t>
  </si>
  <si>
    <t>Once critical chemical source(s) is lost (without considering any backup or alternative mode), what percentage of normal business functions are lost or degraded?</t>
  </si>
  <si>
    <t>Once critical chemical source(s) is lost (and considering your backup or alternative mode (including the storage)), what percentage of normal business functions are lost or degraded?</t>
  </si>
  <si>
    <t xml:space="preserve">Once this critical product is available service is restored, how long would it take before full resumption of operations? </t>
  </si>
  <si>
    <t>Is external water required for the Facility Core Operations (Produce Key Services, Goods)?</t>
  </si>
  <si>
    <t xml:space="preserve">If the external water service is lost (without considering any backup or alternative mode), how soon would the facility be severely impacted: </t>
  </si>
  <si>
    <t>Once external water service is lost (without considering any backup or alternative mode) what percentage of normal business functions are lost or degraded?</t>
  </si>
  <si>
    <t>Is there an alternate to the external source of water?
No</t>
  </si>
  <si>
    <t>Once external water service is lost (and considering your backup or alternative mode) what percentage of normal business functions are lost or degraded?</t>
  </si>
  <si>
    <t>Does the facility require external wastewater discharge services for Core Operations (Produce Key Services, Goods)?</t>
  </si>
  <si>
    <t>If the external wastewater service is lost (without considering any backup or alternative mode), how soon would the facility be severely impacted</t>
  </si>
  <si>
    <t>Once external wastewater service is lost (without considering any backup or alternative) what percentage of normal business functions are lost or degraded?</t>
  </si>
  <si>
    <t>Is there an alternate to the external wastewater discharge service?</t>
  </si>
  <si>
    <t>Once external wastewater service is lost (and considering your backup or alternative mode) what percentage of normal business functions are lost or degraded?</t>
  </si>
  <si>
    <t>Without a Backup Generator</t>
  </si>
  <si>
    <t>With a Backup Generator</t>
  </si>
  <si>
    <t>`</t>
  </si>
  <si>
    <r>
      <rPr>
        <u/>
        <sz val="11"/>
        <color theme="1"/>
        <rFont val="Calibri"/>
        <family val="2"/>
        <scheme val="minor"/>
      </rPr>
      <t>Without a Backup</t>
    </r>
    <r>
      <rPr>
        <sz val="11"/>
        <color theme="1"/>
        <rFont val="Calibri"/>
        <family val="2"/>
        <scheme val="minor"/>
      </rPr>
      <t xml:space="preserve"> </t>
    </r>
  </si>
  <si>
    <r>
      <rPr>
        <u/>
        <sz val="11"/>
        <color theme="1"/>
        <rFont val="Calibri"/>
        <family val="2"/>
        <scheme val="minor"/>
      </rPr>
      <t>With a Backup</t>
    </r>
    <r>
      <rPr>
        <i/>
        <sz val="11"/>
        <color theme="1"/>
        <rFont val="Calibri"/>
        <family val="2"/>
        <scheme val="minor"/>
      </rPr>
      <t xml:space="preserve"> </t>
    </r>
  </si>
  <si>
    <t xml:space="preserve">Does the asset require a communication nodes for its core operations? </t>
  </si>
  <si>
    <t xml:space="preserve">Without a Backup </t>
  </si>
  <si>
    <t xml:space="preserve">With a Backup </t>
  </si>
  <si>
    <t>Without a Backup</t>
  </si>
  <si>
    <t>Duration the asset can utilize its backup  (numerical value)</t>
  </si>
  <si>
    <t>Total hours of impacts to the facilty after external resumption</t>
  </si>
  <si>
    <t>=</t>
  </si>
  <si>
    <t>With a Backup</t>
  </si>
  <si>
    <t xml:space="preserve">Electric Power: </t>
  </si>
  <si>
    <r>
      <t xml:space="preserve">Asset Name: </t>
    </r>
    <r>
      <rPr>
        <b/>
        <i/>
        <sz val="12"/>
        <rFont val="Calibri"/>
        <family val="2"/>
        <scheme val="minor"/>
      </rPr>
      <t>Synovus Center for Commerce &amp; Technology</t>
    </r>
  </si>
  <si>
    <r>
      <rPr>
        <b/>
        <u/>
        <sz val="11"/>
        <rFont val="Calibri"/>
        <family val="2"/>
        <scheme val="minor"/>
      </rPr>
      <t>&lt;Communication&gt;</t>
    </r>
    <r>
      <rPr>
        <sz val="11"/>
        <rFont val="Calibri"/>
        <family val="2"/>
        <scheme val="minor"/>
      </rPr>
      <t xml:space="preserve"> Primary use ofommunication services are: Telephone and Data(Includes networking and Voice-over IP). Facility has a BCP Contingency Plan with providers for restoration.</t>
    </r>
  </si>
  <si>
    <r>
      <rPr>
        <b/>
        <u/>
        <sz val="11"/>
        <rFont val="Calibri"/>
        <family val="2"/>
        <scheme val="minor"/>
      </rPr>
      <t>&lt;Power&gt;</t>
    </r>
    <r>
      <rPr>
        <sz val="11"/>
        <rFont val="Calibri"/>
        <family val="2"/>
        <scheme val="minor"/>
      </rPr>
      <t xml:space="preserve"> Primary Power source is from GA Power (substation unknown). Power provides onsite heat/hot water, core operations (including lighting, IT, telecom, etc.), and Security Operations (e.g., CCTV, scanners, sensors, etc.). Facility has BCP Contingency Plan with Georgia Power for priority restoration. Generators tested weekly under load with quarterly checks conducted on the functionality of the generator. Tested done by third party (Alexander Electric)</t>
    </r>
  </si>
  <si>
    <t>Synovus Center for Commerce &amp; Technology</t>
  </si>
  <si>
    <t>PSA Zach Williams | (202)941-1319</t>
  </si>
  <si>
    <t>zachary.williams@cisa.dhs.gov</t>
  </si>
  <si>
    <r>
      <rPr>
        <b/>
        <u/>
        <sz val="11"/>
        <rFont val="Calibri"/>
        <family val="2"/>
        <scheme val="minor"/>
      </rPr>
      <t xml:space="preserve">&lt;Information Technology&gt; Facility utilizes both </t>
    </r>
    <r>
      <rPr>
        <sz val="11"/>
        <rFont val="Calibri"/>
        <family val="2"/>
        <scheme val="minor"/>
      </rPr>
      <t xml:space="preserve">Internet and Internal IT. The IT provider/supplier is Peachnet. The Critical uses for IT is primairly for business network ( general business, administration functions for the university). Facility has a enterprise level cyber security plan and a cyber security assessment has never been completed for this facility.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</si>
</sst>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1"/>
      <name val="Calibri"/>
      <family val="2"/>
      <scheme val="minor"/>
    </font>
    <font>
      <sz val="11"/>
      <color theme="1"/>
      <name val="Calibri"/>
      <family val="2"/>
      <scheme val="minor"/>
    </font>
    <font>
      <sz val="8"/>
      <name val="Calibri"/>
      <family val="2"/>
      <scheme val="minor"/>
    </font>
    <font>
      <b/>
      <sz val="11"/>
      <color theme="0"/>
      <name val="Calibri"/>
      <family val="2"/>
      <scheme val="minor"/>
    </font>
    <font>
      <b/>
      <i/>
      <sz val="16"/>
      <color theme="0"/>
      <name val="Calibri"/>
      <family val="2"/>
      <scheme val="minor"/>
    </font>
    <font>
      <sz val="12"/>
      <color theme="1"/>
      <name val="Calibri"/>
      <family val="2"/>
      <scheme val="minor"/>
    </font>
    <font>
      <sz val="9"/>
      <color indexed="81"/>
      <name val="Tahoma"/>
      <family val="2"/>
    </font>
    <font>
      <b/>
      <sz val="9"/>
      <color indexed="81"/>
      <name val="Tahoma"/>
      <family val="2"/>
    </font>
    <font>
      <i/>
      <sz val="10"/>
      <color rgb="FF142041"/>
      <name val="Arial"/>
      <family val="2"/>
    </font>
    <font>
      <b/>
      <sz val="14"/>
      <color theme="0"/>
      <name val="Calibri"/>
      <family val="2"/>
      <scheme val="minor"/>
    </font>
    <font>
      <sz val="11"/>
      <name val="Calibri"/>
      <family val="2"/>
      <scheme val="minor"/>
    </font>
    <font>
      <b/>
      <sz val="24"/>
      <name val="Calibri"/>
      <family val="2"/>
      <scheme val="minor"/>
    </font>
    <font>
      <i/>
      <sz val="12"/>
      <color rgb="FFFF0000"/>
      <name val="Calibri"/>
      <family val="2"/>
      <scheme val="minor"/>
    </font>
    <font>
      <b/>
      <sz val="12"/>
      <name val="Calibri"/>
      <family val="2"/>
      <scheme val="minor"/>
    </font>
    <font>
      <i/>
      <sz val="11"/>
      <color theme="1"/>
      <name val="Calibri"/>
      <family val="2"/>
      <scheme val="minor"/>
    </font>
    <font>
      <u/>
      <sz val="11"/>
      <color theme="1"/>
      <name val="Calibri"/>
      <family val="2"/>
      <scheme val="minor"/>
    </font>
    <font>
      <sz val="9"/>
      <color indexed="81"/>
      <name val="Tahoma"/>
      <charset val="1"/>
    </font>
    <font>
      <i/>
      <sz val="16"/>
      <color theme="1"/>
      <name val="Calibri"/>
      <family val="2"/>
      <scheme val="minor"/>
    </font>
    <font>
      <i/>
      <sz val="12"/>
      <name val="Calibri"/>
      <family val="2"/>
      <scheme val="minor"/>
    </font>
    <font>
      <u/>
      <sz val="11"/>
      <color theme="10"/>
      <name val="Calibri"/>
      <family val="2"/>
      <scheme val="minor"/>
    </font>
    <font>
      <b/>
      <i/>
      <sz val="12"/>
      <name val="Calibri"/>
      <family val="2"/>
      <scheme val="minor"/>
    </font>
    <font>
      <b/>
      <u/>
      <sz val="11"/>
      <name val="Calibri"/>
      <family val="2"/>
      <scheme val="minor"/>
    </font>
  </fonts>
  <fills count="5">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4" tint="0.79998168889431442"/>
        <bgColor indexed="64"/>
      </patternFill>
    </fill>
  </fills>
  <borders count="17">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auto="1"/>
      </right>
      <top style="medium">
        <color auto="1"/>
      </top>
      <bottom style="medium">
        <color auto="1"/>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style="medium">
        <color indexed="64"/>
      </right>
      <top/>
      <bottom/>
      <diagonal/>
    </border>
    <border>
      <left/>
      <right style="thin">
        <color indexed="64"/>
      </right>
      <top style="thin">
        <color indexed="64"/>
      </top>
      <bottom style="thin">
        <color indexed="64"/>
      </bottom>
      <diagonal/>
    </border>
  </borders>
  <cellStyleXfs count="3">
    <xf numFmtId="0" fontId="0" fillId="0" borderId="0"/>
    <xf numFmtId="9" fontId="2" fillId="0" borderId="0" applyFont="0" applyFill="0" applyBorder="0" applyAlignment="0" applyProtection="0"/>
    <xf numFmtId="0" fontId="20" fillId="0" borderId="0" applyNumberFormat="0" applyFill="0" applyBorder="0" applyAlignment="0" applyProtection="0"/>
  </cellStyleXfs>
  <cellXfs count="102">
    <xf numFmtId="0" fontId="0" fillId="0" borderId="0" xfId="0"/>
    <xf numFmtId="0" fontId="0" fillId="0" borderId="0" xfId="0" applyAlignment="1">
      <alignment horizontal="center" vertical="center"/>
    </xf>
    <xf numFmtId="9" fontId="0" fillId="0" borderId="0" xfId="0" applyNumberFormat="1" applyAlignment="1">
      <alignment horizontal="center" vertical="center"/>
    </xf>
    <xf numFmtId="0" fontId="0" fillId="0" borderId="0" xfId="0" applyAlignment="1">
      <alignment wrapText="1"/>
    </xf>
    <xf numFmtId="1" fontId="0" fillId="0" borderId="0" xfId="0" applyNumberFormat="1"/>
    <xf numFmtId="0" fontId="0" fillId="0" borderId="0" xfId="0" applyAlignment="1">
      <alignment horizontal="left" wrapText="1"/>
    </xf>
    <xf numFmtId="0" fontId="0" fillId="2" borderId="0" xfId="0" applyFill="1"/>
    <xf numFmtId="0" fontId="0" fillId="2" borderId="0" xfId="0" applyFill="1" applyAlignment="1">
      <alignment vertical="center"/>
    </xf>
    <xf numFmtId="0" fontId="4" fillId="2" borderId="0" xfId="0" applyFont="1" applyFill="1"/>
    <xf numFmtId="0" fontId="4" fillId="2" borderId="0" xfId="0" applyFont="1" applyFill="1" applyAlignment="1">
      <alignment vertical="center"/>
    </xf>
    <xf numFmtId="1" fontId="0" fillId="0" borderId="0" xfId="0" applyNumberFormat="1" applyAlignment="1">
      <alignment horizontal="center" vertical="center"/>
    </xf>
    <xf numFmtId="0" fontId="0" fillId="0" borderId="0" xfId="0" applyAlignment="1">
      <alignment horizontal="right"/>
    </xf>
    <xf numFmtId="0" fontId="0" fillId="2" borderId="1" xfId="0" applyFill="1" applyBorder="1"/>
    <xf numFmtId="0" fontId="0" fillId="2" borderId="2" xfId="0" applyFill="1" applyBorder="1"/>
    <xf numFmtId="0" fontId="0" fillId="2" borderId="8" xfId="0" applyFill="1" applyBorder="1"/>
    <xf numFmtId="0" fontId="0" fillId="2" borderId="10" xfId="0" applyFill="1" applyBorder="1"/>
    <xf numFmtId="0" fontId="0" fillId="2" borderId="6" xfId="0" applyFill="1" applyBorder="1"/>
    <xf numFmtId="0" fontId="4" fillId="2" borderId="6" xfId="0" applyFont="1" applyFill="1" applyBorder="1"/>
    <xf numFmtId="0" fontId="4" fillId="2" borderId="6" xfId="0" applyFont="1" applyFill="1" applyBorder="1" applyAlignment="1">
      <alignment vertical="center"/>
    </xf>
    <xf numFmtId="0" fontId="11" fillId="3" borderId="0" xfId="0" applyFont="1" applyFill="1"/>
    <xf numFmtId="0" fontId="0" fillId="2" borderId="3" xfId="0" applyFill="1" applyBorder="1"/>
    <xf numFmtId="0" fontId="0" fillId="2" borderId="4" xfId="0" applyFill="1" applyBorder="1"/>
    <xf numFmtId="0" fontId="0" fillId="2" borderId="9" xfId="0" applyFill="1" applyBorder="1"/>
    <xf numFmtId="9" fontId="0" fillId="0" borderId="0" xfId="0" applyNumberFormat="1"/>
    <xf numFmtId="0" fontId="0" fillId="0" borderId="0" xfId="0" applyAlignment="1">
      <alignment vertical="center"/>
    </xf>
    <xf numFmtId="0" fontId="0" fillId="0" borderId="13" xfId="0" applyBorder="1"/>
    <xf numFmtId="1" fontId="0" fillId="0" borderId="13" xfId="0" applyNumberFormat="1" applyBorder="1"/>
    <xf numFmtId="0" fontId="0" fillId="4" borderId="13" xfId="0" applyFill="1" applyBorder="1" applyAlignment="1">
      <alignment horizontal="center" vertical="center"/>
    </xf>
    <xf numFmtId="0" fontId="0" fillId="4" borderId="13" xfId="0" applyFill="1" applyBorder="1"/>
    <xf numFmtId="0" fontId="0" fillId="0" borderId="0" xfId="0" applyAlignment="1">
      <alignment horizontal="center" vertical="center" wrapText="1"/>
    </xf>
    <xf numFmtId="0" fontId="0" fillId="4" borderId="13" xfId="0" applyFill="1" applyBorder="1">
      <extLst>
        <ext xmlns:xfpb="http://schemas.microsoft.com/office/spreadsheetml/2022/featurepropertybag" uri="{C7286773-470A-42A8-94C5-96B5CB345126}">
          <xfpb:xfComplement i="0"/>
        </ext>
      </extLst>
    </xf>
    <xf numFmtId="0" fontId="0" fillId="0" borderId="13" xfId="0" applyBorder="1">
      <extLst>
        <ext xmlns:xfpb="http://schemas.microsoft.com/office/spreadsheetml/2022/featurepropertybag" uri="{C7286773-470A-42A8-94C5-96B5CB345126}">
          <xfpb:xfComplement i="0"/>
        </ext>
      </extLst>
    </xf>
    <xf numFmtId="1" fontId="0" fillId="0" borderId="13" xfId="0" applyNumberFormat="1" applyBorder="1">
      <extLst>
        <ext xmlns:xfpb="http://schemas.microsoft.com/office/spreadsheetml/2022/featurepropertybag" uri="{C7286773-470A-42A8-94C5-96B5CB345126}">
          <xfpb:xfComplement i="0"/>
        </ext>
      </extLst>
    </xf>
    <xf numFmtId="0" fontId="0" fillId="0" borderId="0" xfId="0" applyAlignment="1">
      <alignment vertical="center" wrapText="1"/>
    </xf>
    <xf numFmtId="0" fontId="0" fillId="0" borderId="16" xfId="0" applyBorder="1"/>
    <xf numFmtId="0" fontId="11" fillId="0" borderId="0" xfId="0" applyFont="1" applyAlignment="1">
      <alignment horizontal="center" vertical="center"/>
    </xf>
    <xf numFmtId="0" fontId="0" fillId="0" borderId="0" xfId="0" applyAlignment="1">
      <alignment horizontal="center"/>
    </xf>
    <xf numFmtId="0" fontId="16" fillId="0" borderId="16" xfId="0" applyFont="1" applyBorder="1" applyAlignment="1">
      <alignment horizontal="center" vertical="center" wrapText="1"/>
    </xf>
    <xf numFmtId="1" fontId="0" fillId="0" borderId="0" xfId="0" applyNumberFormat="1" applyAlignment="1">
      <alignment horizontal="right"/>
    </xf>
    <xf numFmtId="0" fontId="16" fillId="0" borderId="13" xfId="0" applyFont="1" applyBorder="1" applyAlignment="1">
      <alignment horizontal="center" vertical="center" wrapText="1"/>
    </xf>
    <xf numFmtId="0" fontId="0" fillId="0" borderId="16" xfId="0" applyBorder="1" applyAlignment="1">
      <alignment horizontal="center" vertical="center" wrapText="1"/>
    </xf>
    <xf numFmtId="0" fontId="0" fillId="3" borderId="0" xfId="0" applyFill="1" applyAlignment="1">
      <alignment horizontal="center"/>
    </xf>
    <xf numFmtId="0" fontId="11" fillId="3" borderId="7" xfId="0" applyFont="1" applyFill="1" applyBorder="1" applyAlignment="1">
      <alignment horizontal="center"/>
    </xf>
    <xf numFmtId="0" fontId="11" fillId="3" borderId="14" xfId="0" applyFont="1" applyFill="1" applyBorder="1" applyAlignment="1">
      <alignment horizontal="center"/>
    </xf>
    <xf numFmtId="0" fontId="11" fillId="3" borderId="5" xfId="0" applyFont="1" applyFill="1" applyBorder="1" applyAlignment="1">
      <alignment horizontal="center"/>
    </xf>
    <xf numFmtId="0" fontId="12" fillId="3" borderId="0" xfId="0" applyFont="1" applyFill="1" applyAlignment="1">
      <alignment horizontal="center" vertical="center" wrapText="1"/>
    </xf>
    <xf numFmtId="0" fontId="18" fillId="3" borderId="0" xfId="0" applyFont="1" applyFill="1" applyAlignment="1">
      <alignment horizontal="center" vertical="center"/>
    </xf>
    <xf numFmtId="0" fontId="0" fillId="0" borderId="0" xfId="0" applyAlignment="1">
      <alignment horizontal="center" vertical="center"/>
    </xf>
    <xf numFmtId="14" fontId="0" fillId="0" borderId="0" xfId="0" applyNumberFormat="1" applyAlignment="1">
      <alignment horizontal="center" vertical="center"/>
    </xf>
    <xf numFmtId="0" fontId="0" fillId="0" borderId="0" xfId="0"/>
    <xf numFmtId="0" fontId="20" fillId="0" borderId="0" xfId="2"/>
    <xf numFmtId="0" fontId="10" fillId="2" borderId="0" xfId="0" applyFont="1" applyFill="1" applyAlignment="1">
      <alignment horizontal="left" vertical="center"/>
    </xf>
    <xf numFmtId="0" fontId="9" fillId="3" borderId="1" xfId="0" applyFont="1" applyFill="1" applyBorder="1" applyAlignment="1">
      <alignment horizontal="center" vertical="center" wrapText="1"/>
    </xf>
    <xf numFmtId="0" fontId="9" fillId="3" borderId="2" xfId="0" applyFont="1" applyFill="1" applyBorder="1" applyAlignment="1">
      <alignment horizontal="center" vertical="center" wrapText="1"/>
    </xf>
    <xf numFmtId="0" fontId="9" fillId="3" borderId="8" xfId="0" applyFont="1" applyFill="1" applyBorder="1" applyAlignment="1">
      <alignment horizontal="center" vertical="center" wrapText="1"/>
    </xf>
    <xf numFmtId="0" fontId="9" fillId="3" borderId="10"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 xfId="0" applyFont="1" applyFill="1" applyBorder="1" applyAlignment="1">
      <alignment horizontal="center" vertical="center" wrapText="1"/>
    </xf>
    <xf numFmtId="0" fontId="9" fillId="3" borderId="3" xfId="0" applyFont="1" applyFill="1" applyBorder="1" applyAlignment="1">
      <alignment horizontal="center" vertical="center" wrapText="1"/>
    </xf>
    <xf numFmtId="0" fontId="9" fillId="3" borderId="4" xfId="0" applyFont="1" applyFill="1" applyBorder="1" applyAlignment="1">
      <alignment horizontal="center" vertical="center" wrapText="1"/>
    </xf>
    <xf numFmtId="0" fontId="9" fillId="3" borderId="9" xfId="0" applyFont="1" applyFill="1" applyBorder="1" applyAlignment="1">
      <alignment horizontal="center" vertical="center" wrapText="1"/>
    </xf>
    <xf numFmtId="0" fontId="0" fillId="0" borderId="0" xfId="0" applyAlignment="1">
      <alignment horizontal="left" vertical="center" wrapText="1"/>
    </xf>
    <xf numFmtId="9" fontId="6" fillId="0" borderId="1" xfId="1" applyFont="1" applyBorder="1" applyAlignment="1">
      <alignment horizontal="center" vertical="center"/>
    </xf>
    <xf numFmtId="9" fontId="6" fillId="0" borderId="8" xfId="1" applyFont="1" applyBorder="1" applyAlignment="1">
      <alignment horizontal="center" vertical="center"/>
    </xf>
    <xf numFmtId="9" fontId="6" fillId="0" borderId="10" xfId="1" applyFont="1" applyBorder="1" applyAlignment="1">
      <alignment horizontal="center" vertical="center"/>
    </xf>
    <xf numFmtId="9" fontId="6" fillId="0" borderId="6" xfId="1" applyFont="1" applyBorder="1" applyAlignment="1">
      <alignment horizontal="center" vertical="center"/>
    </xf>
    <xf numFmtId="9" fontId="6" fillId="0" borderId="3" xfId="1" applyFont="1" applyBorder="1" applyAlignment="1">
      <alignment horizontal="center" vertical="center"/>
    </xf>
    <xf numFmtId="9" fontId="6" fillId="0" borderId="9" xfId="1" applyFont="1" applyBorder="1" applyAlignment="1">
      <alignment horizontal="center" vertical="center"/>
    </xf>
    <xf numFmtId="1" fontId="0" fillId="0" borderId="1" xfId="0" applyNumberFormat="1" applyBorder="1" applyAlignment="1">
      <alignment horizontal="center" vertical="center"/>
    </xf>
    <xf numFmtId="1" fontId="0" fillId="0" borderId="10" xfId="0" applyNumberFormat="1" applyBorder="1" applyAlignment="1">
      <alignment horizontal="center" vertical="center"/>
    </xf>
    <xf numFmtId="1" fontId="0" fillId="0" borderId="3" xfId="0" applyNumberFormat="1" applyBorder="1" applyAlignment="1">
      <alignment horizontal="center" vertical="center"/>
    </xf>
    <xf numFmtId="0" fontId="0" fillId="0" borderId="8" xfId="0" applyBorder="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3" borderId="0" xfId="0" applyFill="1" applyAlignment="1">
      <alignment horizontal="center" vertical="center"/>
    </xf>
    <xf numFmtId="0" fontId="0" fillId="0" borderId="7" xfId="0" applyBorder="1" applyAlignment="1">
      <alignment horizontal="center"/>
    </xf>
    <xf numFmtId="0" fontId="0" fillId="0" borderId="5" xfId="0" applyBorder="1" applyAlignment="1">
      <alignment horizontal="center"/>
    </xf>
    <xf numFmtId="0" fontId="1" fillId="0" borderId="4" xfId="0" applyFont="1" applyBorder="1" applyAlignment="1">
      <alignment horizontal="left"/>
    </xf>
    <xf numFmtId="0" fontId="5" fillId="2" borderId="0" xfId="0" applyFont="1" applyFill="1" applyAlignment="1">
      <alignment horizontal="center" vertical="center"/>
    </xf>
    <xf numFmtId="0" fontId="0" fillId="0" borderId="0" xfId="0" applyAlignment="1">
      <alignment horizontal="left" wrapText="1"/>
    </xf>
    <xf numFmtId="0" fontId="0" fillId="0" borderId="0" xfId="0" applyAlignment="1">
      <alignment horizontal="left"/>
    </xf>
    <xf numFmtId="0" fontId="0" fillId="0" borderId="1" xfId="0" applyBorder="1" applyAlignment="1">
      <alignment horizontal="center" vertical="center"/>
    </xf>
    <xf numFmtId="0" fontId="0" fillId="0" borderId="3" xfId="0" applyBorder="1" applyAlignment="1">
      <alignment horizontal="center" vertical="center"/>
    </xf>
    <xf numFmtId="0" fontId="0" fillId="0" borderId="0" xfId="0" applyAlignment="1">
      <alignment horizontal="center" wrapText="1"/>
    </xf>
    <xf numFmtId="0" fontId="0" fillId="0" borderId="4" xfId="0" applyBorder="1" applyAlignment="1">
      <alignment horizontal="left"/>
    </xf>
    <xf numFmtId="0" fontId="0" fillId="0" borderId="0" xfId="0" applyAlignment="1">
      <alignment horizontal="center" vertical="center" wrapText="1"/>
    </xf>
    <xf numFmtId="0" fontId="11" fillId="0" borderId="1" xfId="0" applyFont="1" applyBorder="1" applyAlignment="1">
      <alignment horizontal="center" vertical="center"/>
    </xf>
    <xf numFmtId="0" fontId="11" fillId="0" borderId="8" xfId="0" applyFont="1" applyBorder="1" applyAlignment="1">
      <alignment horizontal="center" vertical="center"/>
    </xf>
    <xf numFmtId="0" fontId="11" fillId="0" borderId="3" xfId="0" applyFont="1" applyBorder="1" applyAlignment="1">
      <alignment horizontal="center" vertical="center"/>
    </xf>
    <xf numFmtId="0" fontId="11" fillId="0" borderId="9" xfId="0" applyFont="1" applyBorder="1" applyAlignment="1">
      <alignment horizontal="center" vertical="center"/>
    </xf>
    <xf numFmtId="0" fontId="14" fillId="0" borderId="7" xfId="0" applyFont="1" applyBorder="1" applyAlignment="1">
      <alignment horizontal="center"/>
    </xf>
    <xf numFmtId="0" fontId="14" fillId="0" borderId="14" xfId="0" applyFont="1" applyBorder="1" applyAlignment="1">
      <alignment horizontal="center"/>
    </xf>
    <xf numFmtId="0" fontId="14" fillId="0" borderId="5" xfId="0" applyFont="1" applyBorder="1" applyAlignment="1">
      <alignment horizontal="center"/>
    </xf>
    <xf numFmtId="0" fontId="0" fillId="0" borderId="11" xfId="0" applyBorder="1" applyAlignment="1">
      <alignment horizontal="center" vertical="center" wrapText="1"/>
    </xf>
    <xf numFmtId="0" fontId="0" fillId="0" borderId="15" xfId="0"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19" fillId="0" borderId="0" xfId="0" applyFont="1" applyAlignment="1">
      <alignment horizontal="center" vertical="center" wrapText="1"/>
    </xf>
    <xf numFmtId="0" fontId="13" fillId="0" borderId="0" xfId="0" applyFont="1" applyAlignment="1">
      <alignment horizontal="center" vertical="center" wrapText="1"/>
    </xf>
    <xf numFmtId="0" fontId="11" fillId="3" borderId="0" xfId="0" applyFont="1" applyFill="1" applyAlignment="1">
      <alignment horizontal="left" vertical="top" wrapText="1"/>
    </xf>
    <xf numFmtId="0" fontId="11" fillId="3" borderId="0" xfId="0" applyFont="1" applyFill="1" applyAlignment="1">
      <alignment vertical="top" wrapText="1"/>
    </xf>
    <xf numFmtId="0" fontId="11" fillId="3" borderId="0" xfId="0" applyFont="1" applyFill="1" applyAlignment="1">
      <alignment horizontal="left" vertical="center" wrapText="1"/>
    </xf>
  </cellXfs>
  <cellStyles count="3">
    <cellStyle name="Hyperlink" xfId="2" builtinId="8"/>
    <cellStyle name="Normal" xfId="0" builtinId="0"/>
    <cellStyle name="Percent" xfId="1" builtinId="5"/>
  </cellStyles>
  <dxfs count="30">
    <dxf>
      <fill>
        <patternFill>
          <bgColor theme="1"/>
        </patternFill>
      </fill>
    </dxf>
    <dxf>
      <fill>
        <patternFill>
          <bgColor theme="1"/>
        </patternFill>
      </fill>
    </dxf>
    <dxf>
      <font>
        <b/>
        <i val="0"/>
        <color rgb="FFFF0000"/>
      </font>
      <fill>
        <patternFill>
          <bgColor theme="1"/>
        </patternFill>
      </fill>
    </dxf>
    <dxf>
      <fill>
        <patternFill>
          <bgColor theme="1"/>
        </patternFill>
      </fill>
    </dxf>
    <dxf>
      <fill>
        <patternFill>
          <bgColor theme="1"/>
        </patternFill>
      </fill>
    </dxf>
    <dxf>
      <font>
        <b/>
        <i val="0"/>
        <color rgb="FFFF0000"/>
      </font>
      <fill>
        <patternFill>
          <bgColor theme="1"/>
        </patternFill>
      </fill>
    </dxf>
    <dxf>
      <fill>
        <patternFill>
          <bgColor theme="1"/>
        </patternFill>
      </fill>
    </dxf>
    <dxf>
      <fill>
        <patternFill>
          <bgColor theme="1"/>
        </patternFill>
      </fill>
    </dxf>
    <dxf>
      <font>
        <b/>
        <i val="0"/>
        <color rgb="FFFF0000"/>
      </font>
      <fill>
        <patternFill>
          <bgColor theme="1"/>
        </patternFill>
      </fill>
    </dxf>
    <dxf>
      <fill>
        <patternFill>
          <bgColor theme="1"/>
        </patternFill>
      </fill>
    </dxf>
    <dxf>
      <fill>
        <patternFill>
          <bgColor theme="1"/>
        </patternFill>
      </fill>
    </dxf>
    <dxf>
      <font>
        <b/>
        <i val="0"/>
        <color rgb="FFFF0000"/>
      </font>
      <fill>
        <patternFill>
          <bgColor theme="1"/>
        </patternFill>
      </fill>
    </dxf>
    <dxf>
      <fill>
        <patternFill>
          <bgColor theme="1"/>
        </patternFill>
      </fill>
    </dxf>
    <dxf>
      <fill>
        <patternFill>
          <bgColor theme="1"/>
        </patternFill>
      </fill>
    </dxf>
    <dxf>
      <font>
        <b/>
        <i val="0"/>
        <color rgb="FFFF0000"/>
      </font>
      <fill>
        <patternFill>
          <bgColor theme="1"/>
        </patternFill>
      </fill>
    </dxf>
    <dxf>
      <fill>
        <patternFill>
          <bgColor theme="1"/>
        </patternFill>
      </fill>
    </dxf>
    <dxf>
      <fill>
        <patternFill>
          <bgColor theme="1"/>
        </patternFill>
      </fill>
    </dxf>
    <dxf>
      <font>
        <b/>
        <i val="0"/>
        <color rgb="FFFF0000"/>
      </font>
      <fill>
        <patternFill>
          <bgColor theme="1"/>
        </patternFill>
      </fill>
    </dxf>
    <dxf>
      <fill>
        <patternFill>
          <bgColor theme="1"/>
        </patternFill>
      </fill>
    </dxf>
    <dxf>
      <fill>
        <patternFill>
          <bgColor theme="1"/>
        </patternFill>
      </fill>
    </dxf>
    <dxf>
      <font>
        <color rgb="FFFF0000"/>
      </font>
    </dxf>
    <dxf>
      <fill>
        <patternFill>
          <bgColor theme="1"/>
        </patternFill>
      </fill>
    </dxf>
    <dxf>
      <font>
        <b/>
        <i val="0"/>
        <color rgb="FFFF0000"/>
      </font>
      <fill>
        <patternFill>
          <bgColor theme="1"/>
        </patternFill>
      </fill>
    </dxf>
    <dxf>
      <fill>
        <patternFill>
          <bgColor theme="1"/>
        </patternFill>
      </fill>
    </dxf>
    <dxf>
      <fill>
        <patternFill>
          <bgColor theme="1"/>
        </patternFill>
      </fill>
    </dxf>
    <dxf>
      <fill>
        <patternFill>
          <bgColor theme="1"/>
        </patternFill>
      </fill>
    </dxf>
    <dxf>
      <font>
        <b/>
        <i val="0"/>
        <color rgb="FFFF0000"/>
      </font>
      <fill>
        <patternFill>
          <bgColor theme="1"/>
        </patternFill>
      </fill>
    </dxf>
    <dxf>
      <fill>
        <patternFill>
          <bgColor theme="1"/>
        </patternFill>
      </fill>
    </dxf>
    <dxf>
      <fill>
        <patternFill>
          <bgColor theme="1"/>
        </patternFill>
      </fill>
    </dxf>
    <dxf>
      <font>
        <b/>
        <i val="0"/>
        <color rgb="FFFF0000"/>
      </font>
      <fill>
        <patternFill>
          <bgColor theme="1"/>
        </patternFill>
      </fill>
    </dxf>
  </dxfs>
  <tableStyles count="0" defaultTableStyle="TableStyleMedium2" defaultPivotStyle="PivotStyleLight16"/>
  <colors>
    <mruColors>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a:t>
            </a:r>
            <a:r>
              <a:rPr lang="en-US" baseline="0"/>
              <a:t> Power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'Formulas_Dont Delete'!$B$5:$C$5</c:f>
              <c:strCache>
                <c:ptCount val="2"/>
                <c:pt idx="0">
                  <c:v>Without a Backup Generator</c:v>
                </c:pt>
              </c:strCache>
            </c:strRef>
          </c:tx>
          <c:spPr>
            <a:ln w="28575" cap="rnd">
              <a:solidFill>
                <a:srgbClr val="FF0000"/>
              </a:solidFill>
              <a:round/>
            </a:ln>
            <a:effectLst/>
          </c:spPr>
          <c:marker>
            <c:symbol val="none"/>
          </c:marker>
          <c:cat>
            <c:numRef>
              <c:f>'Formulas_Dont Delete'!$D$4:$AJ$4</c:f>
              <c:numCache>
                <c:formatCode>General</c:formatCode>
                <c:ptCount val="33"/>
                <c:pt idx="0">
                  <c:v>0</c:v>
                </c:pt>
                <c:pt idx="1">
                  <c:v>3</c:v>
                </c:pt>
                <c:pt idx="2">
                  <c:v>6</c:v>
                </c:pt>
                <c:pt idx="3">
                  <c:v>9</c:v>
                </c:pt>
                <c:pt idx="4">
                  <c:v>12</c:v>
                </c:pt>
                <c:pt idx="5">
                  <c:v>15</c:v>
                </c:pt>
                <c:pt idx="6">
                  <c:v>18</c:v>
                </c:pt>
                <c:pt idx="7">
                  <c:v>21</c:v>
                </c:pt>
                <c:pt idx="8">
                  <c:v>24</c:v>
                </c:pt>
                <c:pt idx="9">
                  <c:v>27</c:v>
                </c:pt>
                <c:pt idx="10">
                  <c:v>30</c:v>
                </c:pt>
                <c:pt idx="11">
                  <c:v>33</c:v>
                </c:pt>
                <c:pt idx="12">
                  <c:v>36</c:v>
                </c:pt>
                <c:pt idx="13">
                  <c:v>39</c:v>
                </c:pt>
                <c:pt idx="14">
                  <c:v>42</c:v>
                </c:pt>
                <c:pt idx="15">
                  <c:v>45</c:v>
                </c:pt>
                <c:pt idx="16">
                  <c:v>48</c:v>
                </c:pt>
                <c:pt idx="17">
                  <c:v>51</c:v>
                </c:pt>
                <c:pt idx="18">
                  <c:v>54</c:v>
                </c:pt>
                <c:pt idx="19">
                  <c:v>57</c:v>
                </c:pt>
                <c:pt idx="20">
                  <c:v>60</c:v>
                </c:pt>
                <c:pt idx="21">
                  <c:v>63</c:v>
                </c:pt>
                <c:pt idx="22">
                  <c:v>66</c:v>
                </c:pt>
                <c:pt idx="23">
                  <c:v>69</c:v>
                </c:pt>
                <c:pt idx="24">
                  <c:v>72</c:v>
                </c:pt>
                <c:pt idx="25">
                  <c:v>75</c:v>
                </c:pt>
                <c:pt idx="26">
                  <c:v>78</c:v>
                </c:pt>
                <c:pt idx="27">
                  <c:v>81</c:v>
                </c:pt>
                <c:pt idx="28">
                  <c:v>84</c:v>
                </c:pt>
                <c:pt idx="29">
                  <c:v>87</c:v>
                </c:pt>
                <c:pt idx="30">
                  <c:v>90</c:v>
                </c:pt>
                <c:pt idx="31">
                  <c:v>93</c:v>
                </c:pt>
                <c:pt idx="32">
                  <c:v>96</c:v>
                </c:pt>
              </c:numCache>
            </c:numRef>
          </c:cat>
          <c:val>
            <c:numRef>
              <c:f>'Formulas_Dont Delete'!$D$5:$AJ$5</c:f>
              <c:numCache>
                <c:formatCode>0</c:formatCode>
                <c:ptCount val="33"/>
                <c:pt idx="0" formatCode="General">
                  <c:v>100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pt idx="24" formatCode="General">
                  <c:v>10</c:v>
                </c:pt>
                <c:pt idx="25" formatCode="General">
                  <c:v>100</c:v>
                </c:pt>
                <c:pt idx="26" formatCode="General">
                  <c:v>100</c:v>
                </c:pt>
                <c:pt idx="27" formatCode="General">
                  <c:v>100</c:v>
                </c:pt>
                <c:pt idx="28" formatCode="General">
                  <c:v>100</c:v>
                </c:pt>
                <c:pt idx="29" formatCode="General">
                  <c:v>100</c:v>
                </c:pt>
                <c:pt idx="30" formatCode="General">
                  <c:v>100</c:v>
                </c:pt>
                <c:pt idx="31" formatCode="General">
                  <c:v>100</c:v>
                </c:pt>
                <c:pt idx="32" formatCode="General">
                  <c:v>100</c:v>
                </c:pt>
              </c:numCache>
            </c:numRef>
          </c:val>
          <c:smooth val="0"/>
          <c:extLst>
            <c:ext xmlns:c16="http://schemas.microsoft.com/office/drawing/2014/chart" uri="{C3380CC4-5D6E-409C-BE32-E72D297353CC}">
              <c16:uniqueId val="{00000000-EE91-4AFA-A94E-F9C09B9DC539}"/>
            </c:ext>
          </c:extLst>
        </c:ser>
        <c:ser>
          <c:idx val="1"/>
          <c:order val="1"/>
          <c:tx>
            <c:strRef>
              <c:f>'Formulas_Dont Delete'!$B$6:$C$6</c:f>
              <c:strCache>
                <c:ptCount val="2"/>
                <c:pt idx="0">
                  <c:v>With a Backup Generator</c:v>
                </c:pt>
              </c:strCache>
            </c:strRef>
          </c:tx>
          <c:spPr>
            <a:ln w="28575" cap="rnd">
              <a:solidFill>
                <a:srgbClr val="00B050"/>
              </a:solidFill>
              <a:prstDash val="dash"/>
              <a:round/>
            </a:ln>
            <a:effectLst/>
          </c:spPr>
          <c:marker>
            <c:symbol val="none"/>
          </c:marker>
          <c:cat>
            <c:numRef>
              <c:f>'Formulas_Dont Delete'!$D$4:$AJ$4</c:f>
              <c:numCache>
                <c:formatCode>General</c:formatCode>
                <c:ptCount val="33"/>
                <c:pt idx="0">
                  <c:v>0</c:v>
                </c:pt>
                <c:pt idx="1">
                  <c:v>3</c:v>
                </c:pt>
                <c:pt idx="2">
                  <c:v>6</c:v>
                </c:pt>
                <c:pt idx="3">
                  <c:v>9</c:v>
                </c:pt>
                <c:pt idx="4">
                  <c:v>12</c:v>
                </c:pt>
                <c:pt idx="5">
                  <c:v>15</c:v>
                </c:pt>
                <c:pt idx="6">
                  <c:v>18</c:v>
                </c:pt>
                <c:pt idx="7">
                  <c:v>21</c:v>
                </c:pt>
                <c:pt idx="8">
                  <c:v>24</c:v>
                </c:pt>
                <c:pt idx="9">
                  <c:v>27</c:v>
                </c:pt>
                <c:pt idx="10">
                  <c:v>30</c:v>
                </c:pt>
                <c:pt idx="11">
                  <c:v>33</c:v>
                </c:pt>
                <c:pt idx="12">
                  <c:v>36</c:v>
                </c:pt>
                <c:pt idx="13">
                  <c:v>39</c:v>
                </c:pt>
                <c:pt idx="14">
                  <c:v>42</c:v>
                </c:pt>
                <c:pt idx="15">
                  <c:v>45</c:v>
                </c:pt>
                <c:pt idx="16">
                  <c:v>48</c:v>
                </c:pt>
                <c:pt idx="17">
                  <c:v>51</c:v>
                </c:pt>
                <c:pt idx="18">
                  <c:v>54</c:v>
                </c:pt>
                <c:pt idx="19">
                  <c:v>57</c:v>
                </c:pt>
                <c:pt idx="20">
                  <c:v>60</c:v>
                </c:pt>
                <c:pt idx="21">
                  <c:v>63</c:v>
                </c:pt>
                <c:pt idx="22">
                  <c:v>66</c:v>
                </c:pt>
                <c:pt idx="23">
                  <c:v>69</c:v>
                </c:pt>
                <c:pt idx="24">
                  <c:v>72</c:v>
                </c:pt>
                <c:pt idx="25">
                  <c:v>75</c:v>
                </c:pt>
                <c:pt idx="26">
                  <c:v>78</c:v>
                </c:pt>
                <c:pt idx="27">
                  <c:v>81</c:v>
                </c:pt>
                <c:pt idx="28">
                  <c:v>84</c:v>
                </c:pt>
                <c:pt idx="29">
                  <c:v>87</c:v>
                </c:pt>
                <c:pt idx="30">
                  <c:v>90</c:v>
                </c:pt>
                <c:pt idx="31">
                  <c:v>93</c:v>
                </c:pt>
                <c:pt idx="32">
                  <c:v>96</c:v>
                </c:pt>
              </c:numCache>
            </c:numRef>
          </c:cat>
          <c:val>
            <c:numRef>
              <c:f>'Formulas_Dont Delete'!$D$6:$AJ$6</c:f>
              <c:numCache>
                <c:formatCode>0</c:formatCode>
                <c:ptCount val="33"/>
                <c:pt idx="0">
                  <c:v>100</c:v>
                </c:pt>
                <c:pt idx="1">
                  <c:v>66</c:v>
                </c:pt>
                <c:pt idx="2">
                  <c:v>66</c:v>
                </c:pt>
                <c:pt idx="3">
                  <c:v>66</c:v>
                </c:pt>
                <c:pt idx="4">
                  <c:v>66</c:v>
                </c:pt>
                <c:pt idx="5">
                  <c:v>66</c:v>
                </c:pt>
                <c:pt idx="6">
                  <c:v>66</c:v>
                </c:pt>
                <c:pt idx="7">
                  <c:v>66</c:v>
                </c:pt>
                <c:pt idx="8">
                  <c:v>66</c:v>
                </c:pt>
                <c:pt idx="9">
                  <c:v>66</c:v>
                </c:pt>
                <c:pt idx="10">
                  <c:v>66</c:v>
                </c:pt>
                <c:pt idx="11">
                  <c:v>66</c:v>
                </c:pt>
                <c:pt idx="12">
                  <c:v>66</c:v>
                </c:pt>
                <c:pt idx="13">
                  <c:v>66</c:v>
                </c:pt>
                <c:pt idx="14">
                  <c:v>66</c:v>
                </c:pt>
                <c:pt idx="15">
                  <c:v>66</c:v>
                </c:pt>
                <c:pt idx="16">
                  <c:v>66</c:v>
                </c:pt>
                <c:pt idx="17">
                  <c:v>66</c:v>
                </c:pt>
                <c:pt idx="18">
                  <c:v>66</c:v>
                </c:pt>
                <c:pt idx="19">
                  <c:v>66</c:v>
                </c:pt>
                <c:pt idx="20">
                  <c:v>66</c:v>
                </c:pt>
                <c:pt idx="21">
                  <c:v>66</c:v>
                </c:pt>
                <c:pt idx="22">
                  <c:v>66</c:v>
                </c:pt>
                <c:pt idx="23">
                  <c:v>66</c:v>
                </c:pt>
                <c:pt idx="24">
                  <c:v>66</c:v>
                </c:pt>
                <c:pt idx="25" formatCode="General">
                  <c:v>100</c:v>
                </c:pt>
                <c:pt idx="26" formatCode="General">
                  <c:v>100</c:v>
                </c:pt>
                <c:pt idx="27" formatCode="General">
                  <c:v>100</c:v>
                </c:pt>
                <c:pt idx="28" formatCode="General">
                  <c:v>100</c:v>
                </c:pt>
                <c:pt idx="29" formatCode="General">
                  <c:v>100</c:v>
                </c:pt>
                <c:pt idx="30" formatCode="General">
                  <c:v>100</c:v>
                </c:pt>
                <c:pt idx="31" formatCode="General">
                  <c:v>100</c:v>
                </c:pt>
                <c:pt idx="32" formatCode="General">
                  <c:v>100</c:v>
                </c:pt>
              </c:numCache>
            </c:numRef>
          </c:val>
          <c:smooth val="0"/>
          <c:extLst>
            <c:ext xmlns:c16="http://schemas.microsoft.com/office/drawing/2014/chart" uri="{C3380CC4-5D6E-409C-BE32-E72D297353CC}">
              <c16:uniqueId val="{00000001-EE91-4AFA-A94E-F9C09B9DC539}"/>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smooth val="0"/>
        <c:axId val="798917967"/>
        <c:axId val="798905007"/>
      </c:lineChart>
      <c:catAx>
        <c:axId val="79891796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a:t>
                </a:r>
                <a:r>
                  <a:rPr lang="en-US" baseline="0"/>
                  <a:t> (Hours)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905007"/>
        <c:crosses val="autoZero"/>
        <c:auto val="1"/>
        <c:lblAlgn val="ctr"/>
        <c:lblOffset val="100"/>
        <c:noMultiLvlLbl val="0"/>
      </c:catAx>
      <c:valAx>
        <c:axId val="798905007"/>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baseline="0">
                    <a:effectLst/>
                  </a:rPr>
                  <a:t>Percentage of Remaining Operational Capacity</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9179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Communication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'Formulas_Dont Delete'!$B$33:$C$33</c:f>
              <c:strCache>
                <c:ptCount val="2"/>
                <c:pt idx="0">
                  <c:v>Without a Backup </c:v>
                </c:pt>
              </c:strCache>
            </c:strRef>
          </c:tx>
          <c:spPr>
            <a:ln w="28575" cap="rnd">
              <a:solidFill>
                <a:srgbClr val="FF0000"/>
              </a:solidFill>
              <a:round/>
            </a:ln>
            <a:effectLst/>
          </c:spPr>
          <c:marker>
            <c:symbol val="none"/>
          </c:marker>
          <c:cat>
            <c:numRef>
              <c:f>'Formulas_Dont Delete'!$D$32:$AJ$32</c:f>
              <c:numCache>
                <c:formatCode>General</c:formatCode>
                <c:ptCount val="33"/>
                <c:pt idx="0">
                  <c:v>0</c:v>
                </c:pt>
                <c:pt idx="1">
                  <c:v>3</c:v>
                </c:pt>
                <c:pt idx="2">
                  <c:v>6</c:v>
                </c:pt>
                <c:pt idx="3">
                  <c:v>9</c:v>
                </c:pt>
                <c:pt idx="4">
                  <c:v>12</c:v>
                </c:pt>
                <c:pt idx="5">
                  <c:v>15</c:v>
                </c:pt>
                <c:pt idx="6">
                  <c:v>18</c:v>
                </c:pt>
                <c:pt idx="7">
                  <c:v>21</c:v>
                </c:pt>
                <c:pt idx="8">
                  <c:v>24</c:v>
                </c:pt>
                <c:pt idx="9">
                  <c:v>27</c:v>
                </c:pt>
                <c:pt idx="10">
                  <c:v>30</c:v>
                </c:pt>
                <c:pt idx="11">
                  <c:v>33</c:v>
                </c:pt>
                <c:pt idx="12">
                  <c:v>36</c:v>
                </c:pt>
                <c:pt idx="13">
                  <c:v>39</c:v>
                </c:pt>
                <c:pt idx="14">
                  <c:v>42</c:v>
                </c:pt>
                <c:pt idx="15">
                  <c:v>45</c:v>
                </c:pt>
                <c:pt idx="16">
                  <c:v>48</c:v>
                </c:pt>
                <c:pt idx="17">
                  <c:v>51</c:v>
                </c:pt>
                <c:pt idx="18">
                  <c:v>54</c:v>
                </c:pt>
                <c:pt idx="19">
                  <c:v>57</c:v>
                </c:pt>
                <c:pt idx="20">
                  <c:v>60</c:v>
                </c:pt>
                <c:pt idx="21">
                  <c:v>63</c:v>
                </c:pt>
                <c:pt idx="22">
                  <c:v>66</c:v>
                </c:pt>
                <c:pt idx="23">
                  <c:v>69</c:v>
                </c:pt>
                <c:pt idx="24">
                  <c:v>72</c:v>
                </c:pt>
                <c:pt idx="25">
                  <c:v>75</c:v>
                </c:pt>
                <c:pt idx="26">
                  <c:v>78</c:v>
                </c:pt>
                <c:pt idx="27">
                  <c:v>81</c:v>
                </c:pt>
                <c:pt idx="28">
                  <c:v>84</c:v>
                </c:pt>
                <c:pt idx="29">
                  <c:v>87</c:v>
                </c:pt>
                <c:pt idx="30">
                  <c:v>90</c:v>
                </c:pt>
                <c:pt idx="31">
                  <c:v>93</c:v>
                </c:pt>
                <c:pt idx="32">
                  <c:v>96</c:v>
                </c:pt>
              </c:numCache>
            </c:numRef>
          </c:cat>
          <c:val>
            <c:numRef>
              <c:f>'Formulas_Dont Delete'!$D$33:$AJ$33</c:f>
              <c:numCache>
                <c:formatCode>0</c:formatCode>
                <c:ptCount val="33"/>
                <c:pt idx="0">
                  <c:v>100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100</c:v>
                </c:pt>
                <c:pt idx="25">
                  <c:v>100</c:v>
                </c:pt>
                <c:pt idx="26">
                  <c:v>100</c:v>
                </c:pt>
                <c:pt idx="27">
                  <c:v>100</c:v>
                </c:pt>
                <c:pt idx="28">
                  <c:v>100</c:v>
                </c:pt>
                <c:pt idx="29">
                  <c:v>100</c:v>
                </c:pt>
                <c:pt idx="30">
                  <c:v>100</c:v>
                </c:pt>
                <c:pt idx="31">
                  <c:v>100</c:v>
                </c:pt>
                <c:pt idx="32">
                  <c:v>100</c:v>
                </c:pt>
              </c:numCache>
            </c:numRef>
          </c:val>
          <c:smooth val="0"/>
          <c:extLst>
            <c:ext xmlns:c16="http://schemas.microsoft.com/office/drawing/2014/chart" uri="{C3380CC4-5D6E-409C-BE32-E72D297353CC}">
              <c16:uniqueId val="{00000000-637D-4833-BEBE-34E94F0C8102}"/>
            </c:ext>
          </c:extLst>
        </c:ser>
        <c:ser>
          <c:idx val="1"/>
          <c:order val="1"/>
          <c:tx>
            <c:strRef>
              <c:f>'Formulas_Dont Delete'!$B$34:$C$34</c:f>
              <c:strCache>
                <c:ptCount val="2"/>
                <c:pt idx="0">
                  <c:v>With a Backup </c:v>
                </c:pt>
              </c:strCache>
            </c:strRef>
          </c:tx>
          <c:spPr>
            <a:ln w="28575" cap="rnd">
              <a:solidFill>
                <a:srgbClr val="00B050"/>
              </a:solidFill>
              <a:prstDash val="dash"/>
              <a:round/>
            </a:ln>
            <a:effectLst/>
          </c:spPr>
          <c:marker>
            <c:symbol val="none"/>
          </c:marker>
          <c:cat>
            <c:numRef>
              <c:f>'Formulas_Dont Delete'!$D$32:$AJ$32</c:f>
              <c:numCache>
                <c:formatCode>General</c:formatCode>
                <c:ptCount val="33"/>
                <c:pt idx="0">
                  <c:v>0</c:v>
                </c:pt>
                <c:pt idx="1">
                  <c:v>3</c:v>
                </c:pt>
                <c:pt idx="2">
                  <c:v>6</c:v>
                </c:pt>
                <c:pt idx="3">
                  <c:v>9</c:v>
                </c:pt>
                <c:pt idx="4">
                  <c:v>12</c:v>
                </c:pt>
                <c:pt idx="5">
                  <c:v>15</c:v>
                </c:pt>
                <c:pt idx="6">
                  <c:v>18</c:v>
                </c:pt>
                <c:pt idx="7">
                  <c:v>21</c:v>
                </c:pt>
                <c:pt idx="8">
                  <c:v>24</c:v>
                </c:pt>
                <c:pt idx="9">
                  <c:v>27</c:v>
                </c:pt>
                <c:pt idx="10">
                  <c:v>30</c:v>
                </c:pt>
                <c:pt idx="11">
                  <c:v>33</c:v>
                </c:pt>
                <c:pt idx="12">
                  <c:v>36</c:v>
                </c:pt>
                <c:pt idx="13">
                  <c:v>39</c:v>
                </c:pt>
                <c:pt idx="14">
                  <c:v>42</c:v>
                </c:pt>
                <c:pt idx="15">
                  <c:v>45</c:v>
                </c:pt>
                <c:pt idx="16">
                  <c:v>48</c:v>
                </c:pt>
                <c:pt idx="17">
                  <c:v>51</c:v>
                </c:pt>
                <c:pt idx="18">
                  <c:v>54</c:v>
                </c:pt>
                <c:pt idx="19">
                  <c:v>57</c:v>
                </c:pt>
                <c:pt idx="20">
                  <c:v>60</c:v>
                </c:pt>
                <c:pt idx="21">
                  <c:v>63</c:v>
                </c:pt>
                <c:pt idx="22">
                  <c:v>66</c:v>
                </c:pt>
                <c:pt idx="23">
                  <c:v>69</c:v>
                </c:pt>
                <c:pt idx="24">
                  <c:v>72</c:v>
                </c:pt>
                <c:pt idx="25">
                  <c:v>75</c:v>
                </c:pt>
                <c:pt idx="26">
                  <c:v>78</c:v>
                </c:pt>
                <c:pt idx="27">
                  <c:v>81</c:v>
                </c:pt>
                <c:pt idx="28">
                  <c:v>84</c:v>
                </c:pt>
                <c:pt idx="29">
                  <c:v>87</c:v>
                </c:pt>
                <c:pt idx="30">
                  <c:v>90</c:v>
                </c:pt>
                <c:pt idx="31">
                  <c:v>93</c:v>
                </c:pt>
                <c:pt idx="32">
                  <c:v>96</c:v>
                </c:pt>
              </c:numCache>
            </c:numRef>
          </c:cat>
          <c:val>
            <c:numRef>
              <c:f>'Formulas_Dont Delete'!$D$34:$AJ$34</c:f>
              <c:numCache>
                <c:formatCode>0</c:formatCode>
                <c:ptCount val="33"/>
                <c:pt idx="0">
                  <c:v>100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100</c:v>
                </c:pt>
                <c:pt idx="25">
                  <c:v>100</c:v>
                </c:pt>
                <c:pt idx="26">
                  <c:v>100</c:v>
                </c:pt>
                <c:pt idx="27">
                  <c:v>100</c:v>
                </c:pt>
                <c:pt idx="28">
                  <c:v>100</c:v>
                </c:pt>
                <c:pt idx="29">
                  <c:v>100</c:v>
                </c:pt>
                <c:pt idx="30">
                  <c:v>100</c:v>
                </c:pt>
                <c:pt idx="31">
                  <c:v>100</c:v>
                </c:pt>
                <c:pt idx="32">
                  <c:v>100</c:v>
                </c:pt>
              </c:numCache>
            </c:numRef>
          </c:val>
          <c:smooth val="0"/>
          <c:extLst>
            <c:ext xmlns:c16="http://schemas.microsoft.com/office/drawing/2014/chart" uri="{C3380CC4-5D6E-409C-BE32-E72D297353CC}">
              <c16:uniqueId val="{00000001-637D-4833-BEBE-34E94F0C8102}"/>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smooth val="0"/>
        <c:axId val="889991151"/>
        <c:axId val="889993071"/>
      </c:lineChart>
      <c:catAx>
        <c:axId val="88999115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a:t>
                </a:r>
                <a:r>
                  <a:rPr lang="en-US" baseline="0"/>
                  <a:t> (Hours)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9993071"/>
        <c:crosses val="autoZero"/>
        <c:auto val="1"/>
        <c:lblAlgn val="ctr"/>
        <c:lblOffset val="100"/>
        <c:noMultiLvlLbl val="0"/>
      </c:catAx>
      <c:valAx>
        <c:axId val="889993071"/>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en-US" sz="1000" b="0" i="0" u="none" strike="noStrike" kern="1200" baseline="0">
                    <a:solidFill>
                      <a:sysClr val="windowText" lastClr="000000">
                        <a:lumMod val="65000"/>
                        <a:lumOff val="35000"/>
                      </a:sysClr>
                    </a:solidFill>
                    <a:effectLst/>
                  </a:rPr>
                  <a:t>Percentage of Remaining Operational Capacity</a:t>
                </a:r>
                <a:endParaRPr lang="en-US" sz="1000" b="0" i="0" u="none" strike="noStrike" kern="1200" baseline="0">
                  <a:solidFill>
                    <a:sysClr val="windowText" lastClr="000000">
                      <a:lumMod val="65000"/>
                      <a:lumOff val="35000"/>
                    </a:sysClr>
                  </a:solidFill>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99911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Information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'Formulas_Dont Delete'!$B$26:$C$26</c:f>
              <c:strCache>
                <c:ptCount val="2"/>
                <c:pt idx="0">
                  <c:v>Without a Backup </c:v>
                </c:pt>
              </c:strCache>
            </c:strRef>
          </c:tx>
          <c:spPr>
            <a:ln w="28575" cap="rnd">
              <a:solidFill>
                <a:srgbClr val="FF0000"/>
              </a:solidFill>
              <a:round/>
            </a:ln>
            <a:effectLst/>
          </c:spPr>
          <c:marker>
            <c:symbol val="none"/>
          </c:marker>
          <c:cat>
            <c:numRef>
              <c:f>'Formulas_Dont Delete'!$D$25:$AJ$25</c:f>
              <c:numCache>
                <c:formatCode>General</c:formatCode>
                <c:ptCount val="33"/>
                <c:pt idx="0">
                  <c:v>0</c:v>
                </c:pt>
                <c:pt idx="1">
                  <c:v>3</c:v>
                </c:pt>
                <c:pt idx="2">
                  <c:v>6</c:v>
                </c:pt>
                <c:pt idx="3">
                  <c:v>9</c:v>
                </c:pt>
                <c:pt idx="4">
                  <c:v>12</c:v>
                </c:pt>
                <c:pt idx="5">
                  <c:v>15</c:v>
                </c:pt>
                <c:pt idx="6">
                  <c:v>18</c:v>
                </c:pt>
                <c:pt idx="7">
                  <c:v>21</c:v>
                </c:pt>
                <c:pt idx="8">
                  <c:v>24</c:v>
                </c:pt>
                <c:pt idx="9">
                  <c:v>27</c:v>
                </c:pt>
                <c:pt idx="10">
                  <c:v>30</c:v>
                </c:pt>
                <c:pt idx="11">
                  <c:v>33</c:v>
                </c:pt>
                <c:pt idx="12">
                  <c:v>36</c:v>
                </c:pt>
                <c:pt idx="13">
                  <c:v>39</c:v>
                </c:pt>
                <c:pt idx="14">
                  <c:v>42</c:v>
                </c:pt>
                <c:pt idx="15">
                  <c:v>45</c:v>
                </c:pt>
                <c:pt idx="16">
                  <c:v>48</c:v>
                </c:pt>
                <c:pt idx="17">
                  <c:v>51</c:v>
                </c:pt>
                <c:pt idx="18">
                  <c:v>54</c:v>
                </c:pt>
                <c:pt idx="19">
                  <c:v>57</c:v>
                </c:pt>
                <c:pt idx="20">
                  <c:v>60</c:v>
                </c:pt>
                <c:pt idx="21">
                  <c:v>63</c:v>
                </c:pt>
                <c:pt idx="22">
                  <c:v>66</c:v>
                </c:pt>
                <c:pt idx="23">
                  <c:v>69</c:v>
                </c:pt>
                <c:pt idx="24">
                  <c:v>72</c:v>
                </c:pt>
                <c:pt idx="25">
                  <c:v>75</c:v>
                </c:pt>
                <c:pt idx="26">
                  <c:v>78</c:v>
                </c:pt>
                <c:pt idx="27">
                  <c:v>81</c:v>
                </c:pt>
                <c:pt idx="28">
                  <c:v>84</c:v>
                </c:pt>
                <c:pt idx="29">
                  <c:v>87</c:v>
                </c:pt>
                <c:pt idx="30">
                  <c:v>90</c:v>
                </c:pt>
                <c:pt idx="31">
                  <c:v>93</c:v>
                </c:pt>
                <c:pt idx="32">
                  <c:v>96</c:v>
                </c:pt>
              </c:numCache>
            </c:numRef>
          </c:cat>
          <c:val>
            <c:numRef>
              <c:f>'Formulas_Dont Delete'!$D$26:$AJ$26</c:f>
              <c:numCache>
                <c:formatCode>General</c:formatCode>
                <c:ptCount val="33"/>
                <c:pt idx="0" formatCode="0">
                  <c:v>100</c:v>
                </c:pt>
                <c:pt idx="1">
                  <c:v>100</c:v>
                </c:pt>
                <c:pt idx="2" formatCode="0">
                  <c:v>20</c:v>
                </c:pt>
                <c:pt idx="3" formatCode="0">
                  <c:v>20</c:v>
                </c:pt>
                <c:pt idx="4" formatCode="0">
                  <c:v>20</c:v>
                </c:pt>
                <c:pt idx="5" formatCode="0">
                  <c:v>20</c:v>
                </c:pt>
                <c:pt idx="6" formatCode="0">
                  <c:v>20</c:v>
                </c:pt>
                <c:pt idx="7" formatCode="0">
                  <c:v>20</c:v>
                </c:pt>
                <c:pt idx="8" formatCode="0">
                  <c:v>20</c:v>
                </c:pt>
                <c:pt idx="9" formatCode="0">
                  <c:v>20</c:v>
                </c:pt>
                <c:pt idx="10" formatCode="0">
                  <c:v>20</c:v>
                </c:pt>
                <c:pt idx="11" formatCode="0">
                  <c:v>20</c:v>
                </c:pt>
                <c:pt idx="12" formatCode="0">
                  <c:v>20</c:v>
                </c:pt>
                <c:pt idx="13" formatCode="0">
                  <c:v>20</c:v>
                </c:pt>
                <c:pt idx="14" formatCode="0">
                  <c:v>20</c:v>
                </c:pt>
                <c:pt idx="15" formatCode="0">
                  <c:v>20</c:v>
                </c:pt>
                <c:pt idx="16" formatCode="0">
                  <c:v>20</c:v>
                </c:pt>
                <c:pt idx="17" formatCode="0">
                  <c:v>20</c:v>
                </c:pt>
                <c:pt idx="18" formatCode="0">
                  <c:v>20</c:v>
                </c:pt>
                <c:pt idx="19" formatCode="0">
                  <c:v>20</c:v>
                </c:pt>
                <c:pt idx="20" formatCode="0">
                  <c:v>20</c:v>
                </c:pt>
                <c:pt idx="21" formatCode="0">
                  <c:v>20</c:v>
                </c:pt>
                <c:pt idx="22" formatCode="0">
                  <c:v>20</c:v>
                </c:pt>
                <c:pt idx="23" formatCode="0">
                  <c:v>20</c:v>
                </c:pt>
                <c:pt idx="24" formatCode="0">
                  <c:v>100</c:v>
                </c:pt>
                <c:pt idx="25" formatCode="0">
                  <c:v>100</c:v>
                </c:pt>
                <c:pt idx="26" formatCode="0">
                  <c:v>100</c:v>
                </c:pt>
                <c:pt idx="27" formatCode="0">
                  <c:v>100</c:v>
                </c:pt>
                <c:pt idx="28" formatCode="0">
                  <c:v>100</c:v>
                </c:pt>
                <c:pt idx="29" formatCode="0">
                  <c:v>100</c:v>
                </c:pt>
                <c:pt idx="30" formatCode="0">
                  <c:v>100</c:v>
                </c:pt>
                <c:pt idx="31" formatCode="0">
                  <c:v>100</c:v>
                </c:pt>
                <c:pt idx="32" formatCode="0">
                  <c:v>100</c:v>
                </c:pt>
              </c:numCache>
            </c:numRef>
          </c:val>
          <c:smooth val="0"/>
          <c:extLst>
            <c:ext xmlns:c16="http://schemas.microsoft.com/office/drawing/2014/chart" uri="{C3380CC4-5D6E-409C-BE32-E72D297353CC}">
              <c16:uniqueId val="{00000000-2722-4841-B611-8BC0158BD014}"/>
            </c:ext>
          </c:extLst>
        </c:ser>
        <c:ser>
          <c:idx val="1"/>
          <c:order val="1"/>
          <c:tx>
            <c:strRef>
              <c:f>'Formulas_Dont Delete'!$B$27:$C$27</c:f>
              <c:strCache>
                <c:ptCount val="2"/>
                <c:pt idx="0">
                  <c:v>With a Backup </c:v>
                </c:pt>
              </c:strCache>
            </c:strRef>
          </c:tx>
          <c:spPr>
            <a:ln w="28575" cap="rnd">
              <a:solidFill>
                <a:srgbClr val="00B050"/>
              </a:solidFill>
              <a:prstDash val="dash"/>
              <a:round/>
            </a:ln>
            <a:effectLst/>
          </c:spPr>
          <c:marker>
            <c:symbol val="none"/>
          </c:marker>
          <c:cat>
            <c:numRef>
              <c:f>'Formulas_Dont Delete'!$D$25:$AJ$25</c:f>
              <c:numCache>
                <c:formatCode>General</c:formatCode>
                <c:ptCount val="33"/>
                <c:pt idx="0">
                  <c:v>0</c:v>
                </c:pt>
                <c:pt idx="1">
                  <c:v>3</c:v>
                </c:pt>
                <c:pt idx="2">
                  <c:v>6</c:v>
                </c:pt>
                <c:pt idx="3">
                  <c:v>9</c:v>
                </c:pt>
                <c:pt idx="4">
                  <c:v>12</c:v>
                </c:pt>
                <c:pt idx="5">
                  <c:v>15</c:v>
                </c:pt>
                <c:pt idx="6">
                  <c:v>18</c:v>
                </c:pt>
                <c:pt idx="7">
                  <c:v>21</c:v>
                </c:pt>
                <c:pt idx="8">
                  <c:v>24</c:v>
                </c:pt>
                <c:pt idx="9">
                  <c:v>27</c:v>
                </c:pt>
                <c:pt idx="10">
                  <c:v>30</c:v>
                </c:pt>
                <c:pt idx="11">
                  <c:v>33</c:v>
                </c:pt>
                <c:pt idx="12">
                  <c:v>36</c:v>
                </c:pt>
                <c:pt idx="13">
                  <c:v>39</c:v>
                </c:pt>
                <c:pt idx="14">
                  <c:v>42</c:v>
                </c:pt>
                <c:pt idx="15">
                  <c:v>45</c:v>
                </c:pt>
                <c:pt idx="16">
                  <c:v>48</c:v>
                </c:pt>
                <c:pt idx="17">
                  <c:v>51</c:v>
                </c:pt>
                <c:pt idx="18">
                  <c:v>54</c:v>
                </c:pt>
                <c:pt idx="19">
                  <c:v>57</c:v>
                </c:pt>
                <c:pt idx="20">
                  <c:v>60</c:v>
                </c:pt>
                <c:pt idx="21">
                  <c:v>63</c:v>
                </c:pt>
                <c:pt idx="22">
                  <c:v>66</c:v>
                </c:pt>
                <c:pt idx="23">
                  <c:v>69</c:v>
                </c:pt>
                <c:pt idx="24">
                  <c:v>72</c:v>
                </c:pt>
                <c:pt idx="25">
                  <c:v>75</c:v>
                </c:pt>
                <c:pt idx="26">
                  <c:v>78</c:v>
                </c:pt>
                <c:pt idx="27">
                  <c:v>81</c:v>
                </c:pt>
                <c:pt idx="28">
                  <c:v>84</c:v>
                </c:pt>
                <c:pt idx="29">
                  <c:v>87</c:v>
                </c:pt>
                <c:pt idx="30">
                  <c:v>90</c:v>
                </c:pt>
                <c:pt idx="31">
                  <c:v>93</c:v>
                </c:pt>
                <c:pt idx="32">
                  <c:v>96</c:v>
                </c:pt>
              </c:numCache>
            </c:numRef>
          </c:cat>
          <c:val>
            <c:numRef>
              <c:f>'Formulas_Dont Delete'!$D$27:$AJ$27</c:f>
              <c:numCache>
                <c:formatCode>0</c:formatCode>
                <c:ptCount val="33"/>
                <c:pt idx="0">
                  <c:v>100</c:v>
                </c:pt>
                <c:pt idx="1">
                  <c:v>100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pt idx="18">
                  <c:v>20</c:v>
                </c:pt>
                <c:pt idx="19">
                  <c:v>20</c:v>
                </c:pt>
                <c:pt idx="20">
                  <c:v>20</c:v>
                </c:pt>
                <c:pt idx="21">
                  <c:v>20</c:v>
                </c:pt>
                <c:pt idx="22">
                  <c:v>20</c:v>
                </c:pt>
                <c:pt idx="23">
                  <c:v>20</c:v>
                </c:pt>
                <c:pt idx="24">
                  <c:v>100</c:v>
                </c:pt>
                <c:pt idx="25">
                  <c:v>100</c:v>
                </c:pt>
                <c:pt idx="26">
                  <c:v>100</c:v>
                </c:pt>
                <c:pt idx="27">
                  <c:v>100</c:v>
                </c:pt>
                <c:pt idx="28">
                  <c:v>100</c:v>
                </c:pt>
                <c:pt idx="29">
                  <c:v>100</c:v>
                </c:pt>
                <c:pt idx="30">
                  <c:v>100</c:v>
                </c:pt>
                <c:pt idx="31">
                  <c:v>100</c:v>
                </c:pt>
                <c:pt idx="32">
                  <c:v>100</c:v>
                </c:pt>
              </c:numCache>
            </c:numRef>
          </c:val>
          <c:smooth val="0"/>
          <c:extLst>
            <c:ext xmlns:c16="http://schemas.microsoft.com/office/drawing/2014/chart" uri="{C3380CC4-5D6E-409C-BE32-E72D297353CC}">
              <c16:uniqueId val="{00000001-2722-4841-B611-8BC0158BD014}"/>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smooth val="0"/>
        <c:axId val="889684143"/>
        <c:axId val="889683183"/>
      </c:lineChart>
      <c:catAx>
        <c:axId val="88968414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(Hours)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9683183"/>
        <c:crosses val="autoZero"/>
        <c:auto val="1"/>
        <c:lblAlgn val="ctr"/>
        <c:lblOffset val="100"/>
        <c:noMultiLvlLbl val="0"/>
      </c:catAx>
      <c:valAx>
        <c:axId val="889683183"/>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effectLst/>
                  </a:rPr>
                  <a:t>Percentage of Remaining Operational Capacity</a:t>
                </a:r>
                <a:endParaRPr lang="en-US" sz="1000" b="0" i="0" u="none" strike="noStrike" kern="1200" baseline="0">
                  <a:solidFill>
                    <a:sysClr val="windowText" lastClr="000000">
                      <a:lumMod val="65000"/>
                      <a:lumOff val="35000"/>
                    </a:sysClr>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9684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Wastewater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'Formulas_Dont Delete'!$B$19:$C$19</c:f>
              <c:strCache>
                <c:ptCount val="2"/>
                <c:pt idx="0">
                  <c:v>Without a Backup </c:v>
                </c:pt>
              </c:strCache>
            </c:strRef>
          </c:tx>
          <c:spPr>
            <a:ln w="28575" cap="rnd">
              <a:solidFill>
                <a:srgbClr val="FF0000"/>
              </a:solidFill>
              <a:round/>
            </a:ln>
            <a:effectLst/>
          </c:spPr>
          <c:marker>
            <c:symbol val="none"/>
          </c:marker>
          <c:cat>
            <c:numRef>
              <c:f>'Formulas_Dont Delete'!$D$18:$AJ$18</c:f>
              <c:numCache>
                <c:formatCode>General</c:formatCode>
                <c:ptCount val="33"/>
                <c:pt idx="0">
                  <c:v>0</c:v>
                </c:pt>
                <c:pt idx="1">
                  <c:v>3</c:v>
                </c:pt>
                <c:pt idx="2">
                  <c:v>6</c:v>
                </c:pt>
                <c:pt idx="3">
                  <c:v>9</c:v>
                </c:pt>
                <c:pt idx="4">
                  <c:v>12</c:v>
                </c:pt>
                <c:pt idx="5">
                  <c:v>15</c:v>
                </c:pt>
                <c:pt idx="6">
                  <c:v>18</c:v>
                </c:pt>
                <c:pt idx="7">
                  <c:v>21</c:v>
                </c:pt>
                <c:pt idx="8">
                  <c:v>24</c:v>
                </c:pt>
                <c:pt idx="9">
                  <c:v>27</c:v>
                </c:pt>
                <c:pt idx="10">
                  <c:v>30</c:v>
                </c:pt>
                <c:pt idx="11">
                  <c:v>33</c:v>
                </c:pt>
                <c:pt idx="12">
                  <c:v>36</c:v>
                </c:pt>
                <c:pt idx="13">
                  <c:v>39</c:v>
                </c:pt>
                <c:pt idx="14">
                  <c:v>42</c:v>
                </c:pt>
                <c:pt idx="15">
                  <c:v>45</c:v>
                </c:pt>
                <c:pt idx="16">
                  <c:v>48</c:v>
                </c:pt>
                <c:pt idx="17">
                  <c:v>51</c:v>
                </c:pt>
                <c:pt idx="18">
                  <c:v>54</c:v>
                </c:pt>
                <c:pt idx="19">
                  <c:v>57</c:v>
                </c:pt>
                <c:pt idx="20">
                  <c:v>60</c:v>
                </c:pt>
                <c:pt idx="21">
                  <c:v>63</c:v>
                </c:pt>
                <c:pt idx="22">
                  <c:v>66</c:v>
                </c:pt>
                <c:pt idx="23">
                  <c:v>69</c:v>
                </c:pt>
                <c:pt idx="24">
                  <c:v>72</c:v>
                </c:pt>
                <c:pt idx="25">
                  <c:v>75</c:v>
                </c:pt>
                <c:pt idx="26">
                  <c:v>78</c:v>
                </c:pt>
                <c:pt idx="27">
                  <c:v>81</c:v>
                </c:pt>
                <c:pt idx="28">
                  <c:v>84</c:v>
                </c:pt>
                <c:pt idx="29">
                  <c:v>87</c:v>
                </c:pt>
                <c:pt idx="30">
                  <c:v>90</c:v>
                </c:pt>
                <c:pt idx="31">
                  <c:v>93</c:v>
                </c:pt>
                <c:pt idx="32">
                  <c:v>96</c:v>
                </c:pt>
              </c:numCache>
            </c:numRef>
          </c:cat>
          <c:val>
            <c:numRef>
              <c:f>'Formulas_Dont Delete'!$D$19:$AJ$19</c:f>
              <c:numCache>
                <c:formatCode>0</c:formatCode>
                <c:ptCount val="33"/>
                <c:pt idx="0">
                  <c:v>100</c:v>
                </c:pt>
                <c:pt idx="1">
                  <c:v>67</c:v>
                </c:pt>
                <c:pt idx="2">
                  <c:v>67</c:v>
                </c:pt>
                <c:pt idx="3">
                  <c:v>67</c:v>
                </c:pt>
                <c:pt idx="4">
                  <c:v>67</c:v>
                </c:pt>
                <c:pt idx="5">
                  <c:v>67</c:v>
                </c:pt>
                <c:pt idx="6">
                  <c:v>67</c:v>
                </c:pt>
                <c:pt idx="7">
                  <c:v>67</c:v>
                </c:pt>
                <c:pt idx="8">
                  <c:v>67</c:v>
                </c:pt>
                <c:pt idx="9">
                  <c:v>67</c:v>
                </c:pt>
                <c:pt idx="10">
                  <c:v>67</c:v>
                </c:pt>
                <c:pt idx="11">
                  <c:v>67</c:v>
                </c:pt>
                <c:pt idx="12">
                  <c:v>67</c:v>
                </c:pt>
                <c:pt idx="13">
                  <c:v>67</c:v>
                </c:pt>
                <c:pt idx="14">
                  <c:v>67</c:v>
                </c:pt>
                <c:pt idx="15">
                  <c:v>67</c:v>
                </c:pt>
                <c:pt idx="16">
                  <c:v>67</c:v>
                </c:pt>
                <c:pt idx="17">
                  <c:v>67</c:v>
                </c:pt>
                <c:pt idx="18">
                  <c:v>67</c:v>
                </c:pt>
                <c:pt idx="19">
                  <c:v>67</c:v>
                </c:pt>
                <c:pt idx="20">
                  <c:v>67</c:v>
                </c:pt>
                <c:pt idx="21">
                  <c:v>67</c:v>
                </c:pt>
                <c:pt idx="22">
                  <c:v>67</c:v>
                </c:pt>
                <c:pt idx="23">
                  <c:v>67</c:v>
                </c:pt>
                <c:pt idx="24">
                  <c:v>100</c:v>
                </c:pt>
                <c:pt idx="25">
                  <c:v>100</c:v>
                </c:pt>
                <c:pt idx="26">
                  <c:v>100</c:v>
                </c:pt>
                <c:pt idx="27">
                  <c:v>100</c:v>
                </c:pt>
                <c:pt idx="28">
                  <c:v>100</c:v>
                </c:pt>
                <c:pt idx="29">
                  <c:v>100</c:v>
                </c:pt>
                <c:pt idx="30">
                  <c:v>100</c:v>
                </c:pt>
                <c:pt idx="31">
                  <c:v>100</c:v>
                </c:pt>
                <c:pt idx="32">
                  <c:v>100</c:v>
                </c:pt>
              </c:numCache>
            </c:numRef>
          </c:val>
          <c:smooth val="0"/>
          <c:extLst>
            <c:ext xmlns:c16="http://schemas.microsoft.com/office/drawing/2014/chart" uri="{C3380CC4-5D6E-409C-BE32-E72D297353CC}">
              <c16:uniqueId val="{00000000-F981-481A-AA48-579F754BE724}"/>
            </c:ext>
          </c:extLst>
        </c:ser>
        <c:ser>
          <c:idx val="1"/>
          <c:order val="1"/>
          <c:tx>
            <c:strRef>
              <c:f>'Formulas_Dont Delete'!$B$20:$C$20</c:f>
              <c:strCache>
                <c:ptCount val="2"/>
                <c:pt idx="0">
                  <c:v>With a Backup </c:v>
                </c:pt>
              </c:strCache>
            </c:strRef>
          </c:tx>
          <c:spPr>
            <a:ln w="28575" cap="rnd">
              <a:solidFill>
                <a:srgbClr val="00B050"/>
              </a:solidFill>
              <a:prstDash val="dash"/>
              <a:round/>
            </a:ln>
            <a:effectLst/>
          </c:spPr>
          <c:marker>
            <c:symbol val="none"/>
          </c:marker>
          <c:cat>
            <c:numRef>
              <c:f>'Formulas_Dont Delete'!$D$18:$AJ$18</c:f>
              <c:numCache>
                <c:formatCode>General</c:formatCode>
                <c:ptCount val="33"/>
                <c:pt idx="0">
                  <c:v>0</c:v>
                </c:pt>
                <c:pt idx="1">
                  <c:v>3</c:v>
                </c:pt>
                <c:pt idx="2">
                  <c:v>6</c:v>
                </c:pt>
                <c:pt idx="3">
                  <c:v>9</c:v>
                </c:pt>
                <c:pt idx="4">
                  <c:v>12</c:v>
                </c:pt>
                <c:pt idx="5">
                  <c:v>15</c:v>
                </c:pt>
                <c:pt idx="6">
                  <c:v>18</c:v>
                </c:pt>
                <c:pt idx="7">
                  <c:v>21</c:v>
                </c:pt>
                <c:pt idx="8">
                  <c:v>24</c:v>
                </c:pt>
                <c:pt idx="9">
                  <c:v>27</c:v>
                </c:pt>
                <c:pt idx="10">
                  <c:v>30</c:v>
                </c:pt>
                <c:pt idx="11">
                  <c:v>33</c:v>
                </c:pt>
                <c:pt idx="12">
                  <c:v>36</c:v>
                </c:pt>
                <c:pt idx="13">
                  <c:v>39</c:v>
                </c:pt>
                <c:pt idx="14">
                  <c:v>42</c:v>
                </c:pt>
                <c:pt idx="15">
                  <c:v>45</c:v>
                </c:pt>
                <c:pt idx="16">
                  <c:v>48</c:v>
                </c:pt>
                <c:pt idx="17">
                  <c:v>51</c:v>
                </c:pt>
                <c:pt idx="18">
                  <c:v>54</c:v>
                </c:pt>
                <c:pt idx="19">
                  <c:v>57</c:v>
                </c:pt>
                <c:pt idx="20">
                  <c:v>60</c:v>
                </c:pt>
                <c:pt idx="21">
                  <c:v>63</c:v>
                </c:pt>
                <c:pt idx="22">
                  <c:v>66</c:v>
                </c:pt>
                <c:pt idx="23">
                  <c:v>69</c:v>
                </c:pt>
                <c:pt idx="24">
                  <c:v>72</c:v>
                </c:pt>
                <c:pt idx="25">
                  <c:v>75</c:v>
                </c:pt>
                <c:pt idx="26">
                  <c:v>78</c:v>
                </c:pt>
                <c:pt idx="27">
                  <c:v>81</c:v>
                </c:pt>
                <c:pt idx="28">
                  <c:v>84</c:v>
                </c:pt>
                <c:pt idx="29">
                  <c:v>87</c:v>
                </c:pt>
                <c:pt idx="30">
                  <c:v>90</c:v>
                </c:pt>
                <c:pt idx="31">
                  <c:v>93</c:v>
                </c:pt>
                <c:pt idx="32">
                  <c:v>96</c:v>
                </c:pt>
              </c:numCache>
            </c:numRef>
          </c:cat>
          <c:val>
            <c:numRef>
              <c:f>'Formulas_Dont Delete'!$D$20:$AJ$20</c:f>
              <c:numCache>
                <c:formatCode>0</c:formatCode>
                <c:ptCount val="33"/>
                <c:pt idx="0">
                  <c:v>100</c:v>
                </c:pt>
                <c:pt idx="1">
                  <c:v>67</c:v>
                </c:pt>
                <c:pt idx="2">
                  <c:v>67</c:v>
                </c:pt>
                <c:pt idx="3">
                  <c:v>67</c:v>
                </c:pt>
                <c:pt idx="4">
                  <c:v>67</c:v>
                </c:pt>
                <c:pt idx="5">
                  <c:v>67</c:v>
                </c:pt>
                <c:pt idx="6">
                  <c:v>67</c:v>
                </c:pt>
                <c:pt idx="7">
                  <c:v>67</c:v>
                </c:pt>
                <c:pt idx="8">
                  <c:v>67</c:v>
                </c:pt>
                <c:pt idx="9">
                  <c:v>67</c:v>
                </c:pt>
                <c:pt idx="10">
                  <c:v>67</c:v>
                </c:pt>
                <c:pt idx="11">
                  <c:v>67</c:v>
                </c:pt>
                <c:pt idx="12">
                  <c:v>67</c:v>
                </c:pt>
                <c:pt idx="13">
                  <c:v>67</c:v>
                </c:pt>
                <c:pt idx="14">
                  <c:v>67</c:v>
                </c:pt>
                <c:pt idx="15">
                  <c:v>67</c:v>
                </c:pt>
                <c:pt idx="16">
                  <c:v>67</c:v>
                </c:pt>
                <c:pt idx="17">
                  <c:v>67</c:v>
                </c:pt>
                <c:pt idx="18">
                  <c:v>67</c:v>
                </c:pt>
                <c:pt idx="19">
                  <c:v>67</c:v>
                </c:pt>
                <c:pt idx="20">
                  <c:v>67</c:v>
                </c:pt>
                <c:pt idx="21">
                  <c:v>67</c:v>
                </c:pt>
                <c:pt idx="22">
                  <c:v>67</c:v>
                </c:pt>
                <c:pt idx="23">
                  <c:v>67</c:v>
                </c:pt>
                <c:pt idx="24">
                  <c:v>100</c:v>
                </c:pt>
                <c:pt idx="25">
                  <c:v>100</c:v>
                </c:pt>
                <c:pt idx="26">
                  <c:v>100</c:v>
                </c:pt>
                <c:pt idx="27">
                  <c:v>100</c:v>
                </c:pt>
                <c:pt idx="28">
                  <c:v>100</c:v>
                </c:pt>
                <c:pt idx="29">
                  <c:v>100</c:v>
                </c:pt>
                <c:pt idx="30">
                  <c:v>100</c:v>
                </c:pt>
                <c:pt idx="31">
                  <c:v>100</c:v>
                </c:pt>
                <c:pt idx="32">
                  <c:v>100</c:v>
                </c:pt>
              </c:numCache>
            </c:numRef>
          </c:val>
          <c:smooth val="0"/>
          <c:extLst>
            <c:ext xmlns:c16="http://schemas.microsoft.com/office/drawing/2014/chart" uri="{C3380CC4-5D6E-409C-BE32-E72D297353CC}">
              <c16:uniqueId val="{00000001-F981-481A-AA48-579F754BE724}"/>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smooth val="0"/>
        <c:axId val="875705567"/>
        <c:axId val="875707487"/>
      </c:lineChart>
      <c:catAx>
        <c:axId val="875705567"/>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5707487"/>
        <c:crosses val="autoZero"/>
        <c:auto val="1"/>
        <c:lblAlgn val="ctr"/>
        <c:lblOffset val="100"/>
        <c:noMultiLvlLbl val="0"/>
      </c:catAx>
      <c:valAx>
        <c:axId val="875707487"/>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en-US"/>
                  <a:t>Axis Tit</a:t>
                </a:r>
                <a:r>
                  <a:rPr lang="en-US" sz="1000" b="0" i="0" u="none" strike="noStrike" kern="1200" baseline="0">
                    <a:solidFill>
                      <a:sysClr val="windowText" lastClr="000000">
                        <a:lumMod val="65000"/>
                        <a:lumOff val="35000"/>
                      </a:sysClr>
                    </a:solidFill>
                    <a:effectLst/>
                  </a:rPr>
                  <a:t>Percentage of Remaining Operational Capacity</a:t>
                </a:r>
                <a:endParaRPr lang="en-US" sz="1000" b="0" i="0" u="none" strike="noStrike" kern="1200" baseline="0">
                  <a:solidFill>
                    <a:sysClr val="windowText" lastClr="000000">
                      <a:lumMod val="65000"/>
                      <a:lumOff val="35000"/>
                    </a:sysClr>
                  </a:solidFill>
                </a:endParaRPr>
              </a:p>
            </c:rich>
          </c:tx>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57055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Critical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'Formulas_Dont Delete'!$B$40:$C$40</c:f>
              <c:strCache>
                <c:ptCount val="2"/>
                <c:pt idx="0">
                  <c:v>Without a Backup</c:v>
                </c:pt>
              </c:strCache>
            </c:strRef>
          </c:tx>
          <c:spPr>
            <a:ln w="28575" cap="rnd">
              <a:solidFill>
                <a:srgbClr val="FF0000"/>
              </a:solidFill>
              <a:round/>
            </a:ln>
            <a:effectLst/>
          </c:spPr>
          <c:marker>
            <c:symbol val="none"/>
          </c:marker>
          <c:cat>
            <c:numRef>
              <c:f>'Formulas_Dont Delete'!$D$39:$AJ$39</c:f>
              <c:numCache>
                <c:formatCode>General</c:formatCode>
                <c:ptCount val="33"/>
                <c:pt idx="0">
                  <c:v>0</c:v>
                </c:pt>
                <c:pt idx="1">
                  <c:v>3</c:v>
                </c:pt>
                <c:pt idx="2">
                  <c:v>6</c:v>
                </c:pt>
                <c:pt idx="3">
                  <c:v>9</c:v>
                </c:pt>
                <c:pt idx="4">
                  <c:v>12</c:v>
                </c:pt>
                <c:pt idx="5">
                  <c:v>15</c:v>
                </c:pt>
                <c:pt idx="6">
                  <c:v>18</c:v>
                </c:pt>
                <c:pt idx="7">
                  <c:v>21</c:v>
                </c:pt>
                <c:pt idx="8">
                  <c:v>24</c:v>
                </c:pt>
                <c:pt idx="9">
                  <c:v>27</c:v>
                </c:pt>
                <c:pt idx="10">
                  <c:v>30</c:v>
                </c:pt>
                <c:pt idx="11">
                  <c:v>33</c:v>
                </c:pt>
                <c:pt idx="12">
                  <c:v>36</c:v>
                </c:pt>
                <c:pt idx="13">
                  <c:v>39</c:v>
                </c:pt>
                <c:pt idx="14">
                  <c:v>42</c:v>
                </c:pt>
                <c:pt idx="15">
                  <c:v>45</c:v>
                </c:pt>
                <c:pt idx="16">
                  <c:v>48</c:v>
                </c:pt>
                <c:pt idx="17">
                  <c:v>51</c:v>
                </c:pt>
                <c:pt idx="18">
                  <c:v>54</c:v>
                </c:pt>
                <c:pt idx="19">
                  <c:v>57</c:v>
                </c:pt>
                <c:pt idx="20">
                  <c:v>60</c:v>
                </c:pt>
                <c:pt idx="21">
                  <c:v>63</c:v>
                </c:pt>
                <c:pt idx="22">
                  <c:v>66</c:v>
                </c:pt>
                <c:pt idx="23">
                  <c:v>69</c:v>
                </c:pt>
                <c:pt idx="24">
                  <c:v>72</c:v>
                </c:pt>
                <c:pt idx="25">
                  <c:v>75</c:v>
                </c:pt>
                <c:pt idx="26">
                  <c:v>78</c:v>
                </c:pt>
                <c:pt idx="27">
                  <c:v>81</c:v>
                </c:pt>
                <c:pt idx="28">
                  <c:v>84</c:v>
                </c:pt>
                <c:pt idx="29">
                  <c:v>87</c:v>
                </c:pt>
                <c:pt idx="30">
                  <c:v>90</c:v>
                </c:pt>
                <c:pt idx="31">
                  <c:v>93</c:v>
                </c:pt>
                <c:pt idx="32">
                  <c:v>96</c:v>
                </c:pt>
              </c:numCache>
            </c:numRef>
          </c:cat>
          <c:val>
            <c:numRef>
              <c:f>'Formulas_Dont Delete'!$D$40:$AJ$40</c:f>
              <c:numCache>
                <c:formatCode>0</c:formatCode>
                <c:ptCount val="33"/>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pt idx="32">
                  <c:v>100</c:v>
                </c:pt>
              </c:numCache>
            </c:numRef>
          </c:val>
          <c:smooth val="0"/>
          <c:extLst>
            <c:ext xmlns:c16="http://schemas.microsoft.com/office/drawing/2014/chart" uri="{C3380CC4-5D6E-409C-BE32-E72D297353CC}">
              <c16:uniqueId val="{00000000-C457-4D12-86DE-80F8EFB3FC22}"/>
            </c:ext>
          </c:extLst>
        </c:ser>
        <c:ser>
          <c:idx val="1"/>
          <c:order val="1"/>
          <c:tx>
            <c:strRef>
              <c:f>'Formulas_Dont Delete'!$B$41:$C$41</c:f>
              <c:strCache>
                <c:ptCount val="2"/>
                <c:pt idx="0">
                  <c:v>With a Backup</c:v>
                </c:pt>
              </c:strCache>
            </c:strRef>
          </c:tx>
          <c:spPr>
            <a:ln w="28575" cap="rnd">
              <a:solidFill>
                <a:srgbClr val="00B050"/>
              </a:solidFill>
              <a:prstDash val="dash"/>
              <a:round/>
            </a:ln>
            <a:effectLst/>
          </c:spPr>
          <c:marker>
            <c:symbol val="none"/>
          </c:marker>
          <c:cat>
            <c:numRef>
              <c:f>'Formulas_Dont Delete'!$D$39:$AJ$39</c:f>
              <c:numCache>
                <c:formatCode>General</c:formatCode>
                <c:ptCount val="33"/>
                <c:pt idx="0">
                  <c:v>0</c:v>
                </c:pt>
                <c:pt idx="1">
                  <c:v>3</c:v>
                </c:pt>
                <c:pt idx="2">
                  <c:v>6</c:v>
                </c:pt>
                <c:pt idx="3">
                  <c:v>9</c:v>
                </c:pt>
                <c:pt idx="4">
                  <c:v>12</c:v>
                </c:pt>
                <c:pt idx="5">
                  <c:v>15</c:v>
                </c:pt>
                <c:pt idx="6">
                  <c:v>18</c:v>
                </c:pt>
                <c:pt idx="7">
                  <c:v>21</c:v>
                </c:pt>
                <c:pt idx="8">
                  <c:v>24</c:v>
                </c:pt>
                <c:pt idx="9">
                  <c:v>27</c:v>
                </c:pt>
                <c:pt idx="10">
                  <c:v>30</c:v>
                </c:pt>
                <c:pt idx="11">
                  <c:v>33</c:v>
                </c:pt>
                <c:pt idx="12">
                  <c:v>36</c:v>
                </c:pt>
                <c:pt idx="13">
                  <c:v>39</c:v>
                </c:pt>
                <c:pt idx="14">
                  <c:v>42</c:v>
                </c:pt>
                <c:pt idx="15">
                  <c:v>45</c:v>
                </c:pt>
                <c:pt idx="16">
                  <c:v>48</c:v>
                </c:pt>
                <c:pt idx="17">
                  <c:v>51</c:v>
                </c:pt>
                <c:pt idx="18">
                  <c:v>54</c:v>
                </c:pt>
                <c:pt idx="19">
                  <c:v>57</c:v>
                </c:pt>
                <c:pt idx="20">
                  <c:v>60</c:v>
                </c:pt>
                <c:pt idx="21">
                  <c:v>63</c:v>
                </c:pt>
                <c:pt idx="22">
                  <c:v>66</c:v>
                </c:pt>
                <c:pt idx="23">
                  <c:v>69</c:v>
                </c:pt>
                <c:pt idx="24">
                  <c:v>72</c:v>
                </c:pt>
                <c:pt idx="25">
                  <c:v>75</c:v>
                </c:pt>
                <c:pt idx="26">
                  <c:v>78</c:v>
                </c:pt>
                <c:pt idx="27">
                  <c:v>81</c:v>
                </c:pt>
                <c:pt idx="28">
                  <c:v>84</c:v>
                </c:pt>
                <c:pt idx="29">
                  <c:v>87</c:v>
                </c:pt>
                <c:pt idx="30">
                  <c:v>90</c:v>
                </c:pt>
                <c:pt idx="31">
                  <c:v>93</c:v>
                </c:pt>
                <c:pt idx="32">
                  <c:v>96</c:v>
                </c:pt>
              </c:numCache>
            </c:numRef>
          </c:cat>
          <c:val>
            <c:numRef>
              <c:f>'Formulas_Dont Delete'!$D$41:$AJ$41</c:f>
              <c:numCache>
                <c:formatCode>0</c:formatCode>
                <c:ptCount val="33"/>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pt idx="32">
                  <c:v>100</c:v>
                </c:pt>
              </c:numCache>
            </c:numRef>
          </c:val>
          <c:smooth val="0"/>
          <c:extLst>
            <c:ext xmlns:c16="http://schemas.microsoft.com/office/drawing/2014/chart" uri="{C3380CC4-5D6E-409C-BE32-E72D297353CC}">
              <c16:uniqueId val="{00000001-C457-4D12-86DE-80F8EFB3FC22}"/>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smooth val="0"/>
        <c:axId val="996008064"/>
        <c:axId val="996009024"/>
      </c:lineChart>
      <c:catAx>
        <c:axId val="99600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(Hours)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6009024"/>
        <c:crosses val="autoZero"/>
        <c:auto val="1"/>
        <c:lblAlgn val="ctr"/>
        <c:lblOffset val="100"/>
        <c:noMultiLvlLbl val="0"/>
      </c:catAx>
      <c:valAx>
        <c:axId val="9960090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en-US" sz="1000" b="0" i="0" u="none" strike="noStrike" kern="1200" baseline="0">
                    <a:solidFill>
                      <a:sysClr val="windowText" lastClr="000000">
                        <a:lumMod val="65000"/>
                        <a:lumOff val="35000"/>
                      </a:sysClr>
                    </a:solidFill>
                    <a:effectLst/>
                  </a:rPr>
                  <a:t>Percentage of Remaining Operational Capacity</a:t>
                </a:r>
                <a:endParaRPr lang="en-US" sz="1000" b="0" i="0" u="none" strike="noStrike" kern="1200" baseline="0">
                  <a:solidFill>
                    <a:sysClr val="windowText" lastClr="000000">
                      <a:lumMod val="65000"/>
                      <a:lumOff val="35000"/>
                    </a:sysClr>
                  </a:solidFill>
                </a:endParaRPr>
              </a:p>
            </c:rich>
          </c:tx>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6008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Water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'Formulas_Dont Delete'!$B$12:$C$12</c:f>
              <c:strCache>
                <c:ptCount val="2"/>
                <c:pt idx="0">
                  <c:v>Without a Backup</c:v>
                </c:pt>
              </c:strCache>
            </c:strRef>
          </c:tx>
          <c:spPr>
            <a:ln w="28575" cap="rnd">
              <a:solidFill>
                <a:srgbClr val="FF0000"/>
              </a:solidFill>
              <a:round/>
            </a:ln>
            <a:effectLst/>
          </c:spPr>
          <c:marker>
            <c:symbol val="none"/>
          </c:marker>
          <c:cat>
            <c:numRef>
              <c:f>'Formulas_Dont Delete'!$D$11:$AJ$11</c:f>
              <c:numCache>
                <c:formatCode>General</c:formatCode>
                <c:ptCount val="33"/>
                <c:pt idx="0">
                  <c:v>0</c:v>
                </c:pt>
                <c:pt idx="1">
                  <c:v>3</c:v>
                </c:pt>
                <c:pt idx="2">
                  <c:v>6</c:v>
                </c:pt>
                <c:pt idx="3">
                  <c:v>9</c:v>
                </c:pt>
                <c:pt idx="4">
                  <c:v>12</c:v>
                </c:pt>
                <c:pt idx="5">
                  <c:v>15</c:v>
                </c:pt>
                <c:pt idx="6">
                  <c:v>18</c:v>
                </c:pt>
                <c:pt idx="7">
                  <c:v>21</c:v>
                </c:pt>
                <c:pt idx="8">
                  <c:v>24</c:v>
                </c:pt>
                <c:pt idx="9">
                  <c:v>27</c:v>
                </c:pt>
                <c:pt idx="10">
                  <c:v>30</c:v>
                </c:pt>
                <c:pt idx="11">
                  <c:v>33</c:v>
                </c:pt>
                <c:pt idx="12">
                  <c:v>36</c:v>
                </c:pt>
                <c:pt idx="13">
                  <c:v>39</c:v>
                </c:pt>
                <c:pt idx="14">
                  <c:v>42</c:v>
                </c:pt>
                <c:pt idx="15">
                  <c:v>45</c:v>
                </c:pt>
                <c:pt idx="16">
                  <c:v>48</c:v>
                </c:pt>
                <c:pt idx="17">
                  <c:v>51</c:v>
                </c:pt>
                <c:pt idx="18">
                  <c:v>54</c:v>
                </c:pt>
                <c:pt idx="19">
                  <c:v>57</c:v>
                </c:pt>
                <c:pt idx="20">
                  <c:v>60</c:v>
                </c:pt>
                <c:pt idx="21">
                  <c:v>63</c:v>
                </c:pt>
                <c:pt idx="22">
                  <c:v>66</c:v>
                </c:pt>
                <c:pt idx="23">
                  <c:v>69</c:v>
                </c:pt>
                <c:pt idx="24">
                  <c:v>72</c:v>
                </c:pt>
                <c:pt idx="25">
                  <c:v>75</c:v>
                </c:pt>
                <c:pt idx="26">
                  <c:v>78</c:v>
                </c:pt>
                <c:pt idx="27">
                  <c:v>81</c:v>
                </c:pt>
                <c:pt idx="28">
                  <c:v>84</c:v>
                </c:pt>
                <c:pt idx="29">
                  <c:v>87</c:v>
                </c:pt>
                <c:pt idx="30">
                  <c:v>90</c:v>
                </c:pt>
                <c:pt idx="31">
                  <c:v>93</c:v>
                </c:pt>
                <c:pt idx="32">
                  <c:v>96</c:v>
                </c:pt>
              </c:numCache>
            </c:numRef>
          </c:cat>
          <c:val>
            <c:numRef>
              <c:f>'Formulas_Dont Delete'!$D$12:$AJ$12</c:f>
              <c:numCache>
                <c:formatCode>0</c:formatCode>
                <c:ptCount val="33"/>
                <c:pt idx="0">
                  <c:v>100</c:v>
                </c:pt>
                <c:pt idx="1">
                  <c:v>55</c:v>
                </c:pt>
                <c:pt idx="2">
                  <c:v>55</c:v>
                </c:pt>
                <c:pt idx="3">
                  <c:v>55</c:v>
                </c:pt>
                <c:pt idx="4">
                  <c:v>55</c:v>
                </c:pt>
                <c:pt idx="5">
                  <c:v>55</c:v>
                </c:pt>
                <c:pt idx="6">
                  <c:v>55</c:v>
                </c:pt>
                <c:pt idx="7">
                  <c:v>55</c:v>
                </c:pt>
                <c:pt idx="8">
                  <c:v>55</c:v>
                </c:pt>
                <c:pt idx="9">
                  <c:v>55</c:v>
                </c:pt>
                <c:pt idx="10">
                  <c:v>55</c:v>
                </c:pt>
                <c:pt idx="11">
                  <c:v>55</c:v>
                </c:pt>
                <c:pt idx="12">
                  <c:v>55</c:v>
                </c:pt>
                <c:pt idx="13">
                  <c:v>55</c:v>
                </c:pt>
                <c:pt idx="14">
                  <c:v>55</c:v>
                </c:pt>
                <c:pt idx="15">
                  <c:v>55</c:v>
                </c:pt>
                <c:pt idx="16">
                  <c:v>55</c:v>
                </c:pt>
                <c:pt idx="17">
                  <c:v>55</c:v>
                </c:pt>
                <c:pt idx="18">
                  <c:v>55</c:v>
                </c:pt>
                <c:pt idx="19">
                  <c:v>55</c:v>
                </c:pt>
                <c:pt idx="20">
                  <c:v>55</c:v>
                </c:pt>
                <c:pt idx="21">
                  <c:v>55</c:v>
                </c:pt>
                <c:pt idx="22">
                  <c:v>55</c:v>
                </c:pt>
                <c:pt idx="23">
                  <c:v>55</c:v>
                </c:pt>
                <c:pt idx="24">
                  <c:v>100</c:v>
                </c:pt>
                <c:pt idx="25">
                  <c:v>100</c:v>
                </c:pt>
                <c:pt idx="26">
                  <c:v>100</c:v>
                </c:pt>
                <c:pt idx="27">
                  <c:v>100</c:v>
                </c:pt>
                <c:pt idx="28">
                  <c:v>100</c:v>
                </c:pt>
                <c:pt idx="29">
                  <c:v>100</c:v>
                </c:pt>
                <c:pt idx="30">
                  <c:v>100</c:v>
                </c:pt>
                <c:pt idx="31">
                  <c:v>100</c:v>
                </c:pt>
                <c:pt idx="32">
                  <c:v>100</c:v>
                </c:pt>
              </c:numCache>
            </c:numRef>
          </c:val>
          <c:smooth val="0"/>
          <c:extLst>
            <c:ext xmlns:c16="http://schemas.microsoft.com/office/drawing/2014/chart" uri="{C3380CC4-5D6E-409C-BE32-E72D297353CC}">
              <c16:uniqueId val="{00000000-6851-4DBA-8988-0FB001B03CB2}"/>
            </c:ext>
          </c:extLst>
        </c:ser>
        <c:ser>
          <c:idx val="1"/>
          <c:order val="1"/>
          <c:tx>
            <c:strRef>
              <c:f>'Formulas_Dont Delete'!$B$13:$C$13</c:f>
              <c:strCache>
                <c:ptCount val="2"/>
                <c:pt idx="0">
                  <c:v>With a Backup </c:v>
                </c:pt>
              </c:strCache>
            </c:strRef>
          </c:tx>
          <c:spPr>
            <a:ln w="28575" cap="rnd">
              <a:solidFill>
                <a:srgbClr val="00B050"/>
              </a:solidFill>
              <a:prstDash val="dash"/>
              <a:round/>
            </a:ln>
            <a:effectLst/>
          </c:spPr>
          <c:marker>
            <c:symbol val="none"/>
          </c:marker>
          <c:cat>
            <c:numRef>
              <c:f>'Formulas_Dont Delete'!$D$11:$AJ$11</c:f>
              <c:numCache>
                <c:formatCode>General</c:formatCode>
                <c:ptCount val="33"/>
                <c:pt idx="0">
                  <c:v>0</c:v>
                </c:pt>
                <c:pt idx="1">
                  <c:v>3</c:v>
                </c:pt>
                <c:pt idx="2">
                  <c:v>6</c:v>
                </c:pt>
                <c:pt idx="3">
                  <c:v>9</c:v>
                </c:pt>
                <c:pt idx="4">
                  <c:v>12</c:v>
                </c:pt>
                <c:pt idx="5">
                  <c:v>15</c:v>
                </c:pt>
                <c:pt idx="6">
                  <c:v>18</c:v>
                </c:pt>
                <c:pt idx="7">
                  <c:v>21</c:v>
                </c:pt>
                <c:pt idx="8">
                  <c:v>24</c:v>
                </c:pt>
                <c:pt idx="9">
                  <c:v>27</c:v>
                </c:pt>
                <c:pt idx="10">
                  <c:v>30</c:v>
                </c:pt>
                <c:pt idx="11">
                  <c:v>33</c:v>
                </c:pt>
                <c:pt idx="12">
                  <c:v>36</c:v>
                </c:pt>
                <c:pt idx="13">
                  <c:v>39</c:v>
                </c:pt>
                <c:pt idx="14">
                  <c:v>42</c:v>
                </c:pt>
                <c:pt idx="15">
                  <c:v>45</c:v>
                </c:pt>
                <c:pt idx="16">
                  <c:v>48</c:v>
                </c:pt>
                <c:pt idx="17">
                  <c:v>51</c:v>
                </c:pt>
                <c:pt idx="18">
                  <c:v>54</c:v>
                </c:pt>
                <c:pt idx="19">
                  <c:v>57</c:v>
                </c:pt>
                <c:pt idx="20">
                  <c:v>60</c:v>
                </c:pt>
                <c:pt idx="21">
                  <c:v>63</c:v>
                </c:pt>
                <c:pt idx="22">
                  <c:v>66</c:v>
                </c:pt>
                <c:pt idx="23">
                  <c:v>69</c:v>
                </c:pt>
                <c:pt idx="24">
                  <c:v>72</c:v>
                </c:pt>
                <c:pt idx="25">
                  <c:v>75</c:v>
                </c:pt>
                <c:pt idx="26">
                  <c:v>78</c:v>
                </c:pt>
                <c:pt idx="27">
                  <c:v>81</c:v>
                </c:pt>
                <c:pt idx="28">
                  <c:v>84</c:v>
                </c:pt>
                <c:pt idx="29">
                  <c:v>87</c:v>
                </c:pt>
                <c:pt idx="30">
                  <c:v>90</c:v>
                </c:pt>
                <c:pt idx="31">
                  <c:v>93</c:v>
                </c:pt>
                <c:pt idx="32">
                  <c:v>96</c:v>
                </c:pt>
              </c:numCache>
            </c:numRef>
          </c:cat>
          <c:val>
            <c:numRef>
              <c:f>'Formulas_Dont Delete'!$D$13:$AJ$13</c:f>
              <c:numCache>
                <c:formatCode>0</c:formatCode>
                <c:ptCount val="33"/>
                <c:pt idx="0">
                  <c:v>100</c:v>
                </c:pt>
                <c:pt idx="1">
                  <c:v>55</c:v>
                </c:pt>
                <c:pt idx="2">
                  <c:v>55</c:v>
                </c:pt>
                <c:pt idx="3">
                  <c:v>55</c:v>
                </c:pt>
                <c:pt idx="4">
                  <c:v>55</c:v>
                </c:pt>
                <c:pt idx="5">
                  <c:v>55</c:v>
                </c:pt>
                <c:pt idx="6">
                  <c:v>55</c:v>
                </c:pt>
                <c:pt idx="7">
                  <c:v>55</c:v>
                </c:pt>
                <c:pt idx="8">
                  <c:v>55</c:v>
                </c:pt>
                <c:pt idx="9">
                  <c:v>55</c:v>
                </c:pt>
                <c:pt idx="10">
                  <c:v>55</c:v>
                </c:pt>
                <c:pt idx="11">
                  <c:v>55</c:v>
                </c:pt>
                <c:pt idx="12">
                  <c:v>55</c:v>
                </c:pt>
                <c:pt idx="13">
                  <c:v>55</c:v>
                </c:pt>
                <c:pt idx="14">
                  <c:v>55</c:v>
                </c:pt>
                <c:pt idx="15">
                  <c:v>55</c:v>
                </c:pt>
                <c:pt idx="16">
                  <c:v>55</c:v>
                </c:pt>
                <c:pt idx="17">
                  <c:v>55</c:v>
                </c:pt>
                <c:pt idx="18">
                  <c:v>55</c:v>
                </c:pt>
                <c:pt idx="19">
                  <c:v>55</c:v>
                </c:pt>
                <c:pt idx="20">
                  <c:v>55</c:v>
                </c:pt>
                <c:pt idx="21">
                  <c:v>55</c:v>
                </c:pt>
                <c:pt idx="22">
                  <c:v>55</c:v>
                </c:pt>
                <c:pt idx="23">
                  <c:v>55</c:v>
                </c:pt>
                <c:pt idx="24">
                  <c:v>100</c:v>
                </c:pt>
                <c:pt idx="25">
                  <c:v>100</c:v>
                </c:pt>
                <c:pt idx="26">
                  <c:v>100</c:v>
                </c:pt>
                <c:pt idx="27">
                  <c:v>100</c:v>
                </c:pt>
                <c:pt idx="28">
                  <c:v>100</c:v>
                </c:pt>
                <c:pt idx="29">
                  <c:v>100</c:v>
                </c:pt>
                <c:pt idx="30">
                  <c:v>100</c:v>
                </c:pt>
                <c:pt idx="31">
                  <c:v>100</c:v>
                </c:pt>
                <c:pt idx="32">
                  <c:v>100</c:v>
                </c:pt>
              </c:numCache>
            </c:numRef>
          </c:val>
          <c:smooth val="0"/>
          <c:extLst>
            <c:ext xmlns:c16="http://schemas.microsoft.com/office/drawing/2014/chart" uri="{C3380CC4-5D6E-409C-BE32-E72D297353CC}">
              <c16:uniqueId val="{00000001-6851-4DBA-8988-0FB001B03CB2}"/>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smooth val="0"/>
        <c:axId val="1015443296"/>
        <c:axId val="1015445696"/>
      </c:lineChart>
      <c:catAx>
        <c:axId val="10154432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(Hours)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445696"/>
        <c:crosses val="autoZero"/>
        <c:auto val="1"/>
        <c:lblAlgn val="ctr"/>
        <c:lblOffset val="100"/>
        <c:noMultiLvlLbl val="0"/>
      </c:catAx>
      <c:valAx>
        <c:axId val="101544569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en-US" sz="1000" b="0" i="0" u="none" strike="noStrike" kern="1200" baseline="0">
                    <a:solidFill>
                      <a:sysClr val="windowText" lastClr="000000">
                        <a:lumMod val="65000"/>
                        <a:lumOff val="35000"/>
                      </a:sysClr>
                    </a:solidFill>
                    <a:effectLst/>
                  </a:rPr>
                  <a:t>Percentage of Remaining Operational Capacity</a:t>
                </a:r>
                <a:endParaRPr lang="en-US" sz="1000" b="0" i="0" u="none" strike="noStrike" kern="1200" baseline="0">
                  <a:solidFill>
                    <a:sysClr val="windowText" lastClr="000000">
                      <a:lumMod val="65000"/>
                      <a:lumOff val="35000"/>
                    </a:sysClr>
                  </a:solidFill>
                </a:endParaRPr>
              </a:p>
            </c:rich>
          </c:tx>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443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a:t>
            </a:r>
            <a:r>
              <a:rPr lang="en-US" baseline="0"/>
              <a:t> Power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'Formulas_Dont Delete'!$B$5:$C$5</c:f>
              <c:strCache>
                <c:ptCount val="2"/>
                <c:pt idx="0">
                  <c:v>Without a Backup Generator</c:v>
                </c:pt>
              </c:strCache>
            </c:strRef>
          </c:tx>
          <c:spPr>
            <a:ln w="28575" cap="rnd">
              <a:solidFill>
                <a:srgbClr val="FF0000"/>
              </a:solidFill>
              <a:round/>
            </a:ln>
            <a:effectLst/>
          </c:spPr>
          <c:marker>
            <c:symbol val="none"/>
          </c:marker>
          <c:cat>
            <c:numRef>
              <c:f>'Formulas_Dont Delete'!$D$4:$AJ$4</c:f>
              <c:numCache>
                <c:formatCode>General</c:formatCode>
                <c:ptCount val="33"/>
                <c:pt idx="0">
                  <c:v>0</c:v>
                </c:pt>
                <c:pt idx="1">
                  <c:v>3</c:v>
                </c:pt>
                <c:pt idx="2">
                  <c:v>6</c:v>
                </c:pt>
                <c:pt idx="3">
                  <c:v>9</c:v>
                </c:pt>
                <c:pt idx="4">
                  <c:v>12</c:v>
                </c:pt>
                <c:pt idx="5">
                  <c:v>15</c:v>
                </c:pt>
                <c:pt idx="6">
                  <c:v>18</c:v>
                </c:pt>
                <c:pt idx="7">
                  <c:v>21</c:v>
                </c:pt>
                <c:pt idx="8">
                  <c:v>24</c:v>
                </c:pt>
                <c:pt idx="9">
                  <c:v>27</c:v>
                </c:pt>
                <c:pt idx="10">
                  <c:v>30</c:v>
                </c:pt>
                <c:pt idx="11">
                  <c:v>33</c:v>
                </c:pt>
                <c:pt idx="12">
                  <c:v>36</c:v>
                </c:pt>
                <c:pt idx="13">
                  <c:v>39</c:v>
                </c:pt>
                <c:pt idx="14">
                  <c:v>42</c:v>
                </c:pt>
                <c:pt idx="15">
                  <c:v>45</c:v>
                </c:pt>
                <c:pt idx="16">
                  <c:v>48</c:v>
                </c:pt>
                <c:pt idx="17">
                  <c:v>51</c:v>
                </c:pt>
                <c:pt idx="18">
                  <c:v>54</c:v>
                </c:pt>
                <c:pt idx="19">
                  <c:v>57</c:v>
                </c:pt>
                <c:pt idx="20">
                  <c:v>60</c:v>
                </c:pt>
                <c:pt idx="21">
                  <c:v>63</c:v>
                </c:pt>
                <c:pt idx="22">
                  <c:v>66</c:v>
                </c:pt>
                <c:pt idx="23">
                  <c:v>69</c:v>
                </c:pt>
                <c:pt idx="24">
                  <c:v>72</c:v>
                </c:pt>
                <c:pt idx="25">
                  <c:v>75</c:v>
                </c:pt>
                <c:pt idx="26">
                  <c:v>78</c:v>
                </c:pt>
                <c:pt idx="27">
                  <c:v>81</c:v>
                </c:pt>
                <c:pt idx="28">
                  <c:v>84</c:v>
                </c:pt>
                <c:pt idx="29">
                  <c:v>87</c:v>
                </c:pt>
                <c:pt idx="30">
                  <c:v>90</c:v>
                </c:pt>
                <c:pt idx="31">
                  <c:v>93</c:v>
                </c:pt>
                <c:pt idx="32">
                  <c:v>96</c:v>
                </c:pt>
              </c:numCache>
            </c:numRef>
          </c:cat>
          <c:val>
            <c:numRef>
              <c:f>'Formulas_Dont Delete'!$D$5:$AJ$5</c:f>
              <c:numCache>
                <c:formatCode>0</c:formatCode>
                <c:ptCount val="33"/>
                <c:pt idx="0" formatCode="General">
                  <c:v>100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pt idx="24" formatCode="General">
                  <c:v>10</c:v>
                </c:pt>
                <c:pt idx="25" formatCode="General">
                  <c:v>100</c:v>
                </c:pt>
                <c:pt idx="26" formatCode="General">
                  <c:v>100</c:v>
                </c:pt>
                <c:pt idx="27" formatCode="General">
                  <c:v>100</c:v>
                </c:pt>
                <c:pt idx="28" formatCode="General">
                  <c:v>100</c:v>
                </c:pt>
                <c:pt idx="29" formatCode="General">
                  <c:v>100</c:v>
                </c:pt>
                <c:pt idx="30" formatCode="General">
                  <c:v>100</c:v>
                </c:pt>
                <c:pt idx="31" formatCode="General">
                  <c:v>100</c:v>
                </c:pt>
                <c:pt idx="32" formatCode="General">
                  <c:v>100</c:v>
                </c:pt>
              </c:numCache>
            </c:numRef>
          </c:val>
          <c:smooth val="0"/>
          <c:extLst>
            <c:ext xmlns:c16="http://schemas.microsoft.com/office/drawing/2014/chart" uri="{C3380CC4-5D6E-409C-BE32-E72D297353CC}">
              <c16:uniqueId val="{00000000-A393-45AF-A33D-3BF44044A39B}"/>
            </c:ext>
          </c:extLst>
        </c:ser>
        <c:ser>
          <c:idx val="1"/>
          <c:order val="1"/>
          <c:tx>
            <c:strRef>
              <c:f>'Formulas_Dont Delete'!$B$6:$C$6</c:f>
              <c:strCache>
                <c:ptCount val="2"/>
                <c:pt idx="0">
                  <c:v>With a Backup Generator</c:v>
                </c:pt>
              </c:strCache>
            </c:strRef>
          </c:tx>
          <c:spPr>
            <a:ln w="28575" cap="rnd">
              <a:solidFill>
                <a:srgbClr val="00B050"/>
              </a:solidFill>
              <a:prstDash val="sysDash"/>
              <a:round/>
            </a:ln>
            <a:effectLst/>
          </c:spPr>
          <c:marker>
            <c:symbol val="none"/>
          </c:marker>
          <c:cat>
            <c:numRef>
              <c:f>'Formulas_Dont Delete'!$D$4:$AJ$4</c:f>
              <c:numCache>
                <c:formatCode>General</c:formatCode>
                <c:ptCount val="33"/>
                <c:pt idx="0">
                  <c:v>0</c:v>
                </c:pt>
                <c:pt idx="1">
                  <c:v>3</c:v>
                </c:pt>
                <c:pt idx="2">
                  <c:v>6</c:v>
                </c:pt>
                <c:pt idx="3">
                  <c:v>9</c:v>
                </c:pt>
                <c:pt idx="4">
                  <c:v>12</c:v>
                </c:pt>
                <c:pt idx="5">
                  <c:v>15</c:v>
                </c:pt>
                <c:pt idx="6">
                  <c:v>18</c:v>
                </c:pt>
                <c:pt idx="7">
                  <c:v>21</c:v>
                </c:pt>
                <c:pt idx="8">
                  <c:v>24</c:v>
                </c:pt>
                <c:pt idx="9">
                  <c:v>27</c:v>
                </c:pt>
                <c:pt idx="10">
                  <c:v>30</c:v>
                </c:pt>
                <c:pt idx="11">
                  <c:v>33</c:v>
                </c:pt>
                <c:pt idx="12">
                  <c:v>36</c:v>
                </c:pt>
                <c:pt idx="13">
                  <c:v>39</c:v>
                </c:pt>
                <c:pt idx="14">
                  <c:v>42</c:v>
                </c:pt>
                <c:pt idx="15">
                  <c:v>45</c:v>
                </c:pt>
                <c:pt idx="16">
                  <c:v>48</c:v>
                </c:pt>
                <c:pt idx="17">
                  <c:v>51</c:v>
                </c:pt>
                <c:pt idx="18">
                  <c:v>54</c:v>
                </c:pt>
                <c:pt idx="19">
                  <c:v>57</c:v>
                </c:pt>
                <c:pt idx="20">
                  <c:v>60</c:v>
                </c:pt>
                <c:pt idx="21">
                  <c:v>63</c:v>
                </c:pt>
                <c:pt idx="22">
                  <c:v>66</c:v>
                </c:pt>
                <c:pt idx="23">
                  <c:v>69</c:v>
                </c:pt>
                <c:pt idx="24">
                  <c:v>72</c:v>
                </c:pt>
                <c:pt idx="25">
                  <c:v>75</c:v>
                </c:pt>
                <c:pt idx="26">
                  <c:v>78</c:v>
                </c:pt>
                <c:pt idx="27">
                  <c:v>81</c:v>
                </c:pt>
                <c:pt idx="28">
                  <c:v>84</c:v>
                </c:pt>
                <c:pt idx="29">
                  <c:v>87</c:v>
                </c:pt>
                <c:pt idx="30">
                  <c:v>90</c:v>
                </c:pt>
                <c:pt idx="31">
                  <c:v>93</c:v>
                </c:pt>
                <c:pt idx="32">
                  <c:v>96</c:v>
                </c:pt>
              </c:numCache>
            </c:numRef>
          </c:cat>
          <c:val>
            <c:numRef>
              <c:f>'Formulas_Dont Delete'!$D$6:$AJ$6</c:f>
              <c:numCache>
                <c:formatCode>0</c:formatCode>
                <c:ptCount val="33"/>
                <c:pt idx="0">
                  <c:v>100</c:v>
                </c:pt>
                <c:pt idx="1">
                  <c:v>66</c:v>
                </c:pt>
                <c:pt idx="2">
                  <c:v>66</c:v>
                </c:pt>
                <c:pt idx="3">
                  <c:v>66</c:v>
                </c:pt>
                <c:pt idx="4">
                  <c:v>66</c:v>
                </c:pt>
                <c:pt idx="5">
                  <c:v>66</c:v>
                </c:pt>
                <c:pt idx="6">
                  <c:v>66</c:v>
                </c:pt>
                <c:pt idx="7">
                  <c:v>66</c:v>
                </c:pt>
                <c:pt idx="8">
                  <c:v>66</c:v>
                </c:pt>
                <c:pt idx="9">
                  <c:v>66</c:v>
                </c:pt>
                <c:pt idx="10">
                  <c:v>66</c:v>
                </c:pt>
                <c:pt idx="11">
                  <c:v>66</c:v>
                </c:pt>
                <c:pt idx="12">
                  <c:v>66</c:v>
                </c:pt>
                <c:pt idx="13">
                  <c:v>66</c:v>
                </c:pt>
                <c:pt idx="14">
                  <c:v>66</c:v>
                </c:pt>
                <c:pt idx="15">
                  <c:v>66</c:v>
                </c:pt>
                <c:pt idx="16">
                  <c:v>66</c:v>
                </c:pt>
                <c:pt idx="17">
                  <c:v>66</c:v>
                </c:pt>
                <c:pt idx="18">
                  <c:v>66</c:v>
                </c:pt>
                <c:pt idx="19">
                  <c:v>66</c:v>
                </c:pt>
                <c:pt idx="20">
                  <c:v>66</c:v>
                </c:pt>
                <c:pt idx="21">
                  <c:v>66</c:v>
                </c:pt>
                <c:pt idx="22">
                  <c:v>66</c:v>
                </c:pt>
                <c:pt idx="23">
                  <c:v>66</c:v>
                </c:pt>
                <c:pt idx="24">
                  <c:v>66</c:v>
                </c:pt>
                <c:pt idx="25" formatCode="General">
                  <c:v>100</c:v>
                </c:pt>
                <c:pt idx="26" formatCode="General">
                  <c:v>100</c:v>
                </c:pt>
                <c:pt idx="27" formatCode="General">
                  <c:v>100</c:v>
                </c:pt>
                <c:pt idx="28" formatCode="General">
                  <c:v>100</c:v>
                </c:pt>
                <c:pt idx="29" formatCode="General">
                  <c:v>100</c:v>
                </c:pt>
                <c:pt idx="30" formatCode="General">
                  <c:v>100</c:v>
                </c:pt>
                <c:pt idx="31" formatCode="General">
                  <c:v>100</c:v>
                </c:pt>
                <c:pt idx="32" formatCode="General">
                  <c:v>100</c:v>
                </c:pt>
              </c:numCache>
            </c:numRef>
          </c:val>
          <c:smooth val="0"/>
          <c:extLst>
            <c:ext xmlns:c16="http://schemas.microsoft.com/office/drawing/2014/chart" uri="{C3380CC4-5D6E-409C-BE32-E72D297353CC}">
              <c16:uniqueId val="{00000001-A393-45AF-A33D-3BF44044A39B}"/>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smooth val="0"/>
        <c:axId val="798917967"/>
        <c:axId val="798905007"/>
      </c:lineChart>
      <c:catAx>
        <c:axId val="79891796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a:t>
                </a:r>
                <a:r>
                  <a:rPr lang="en-US" baseline="0"/>
                  <a:t> (Hours)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905007"/>
        <c:crosses val="autoZero"/>
        <c:auto val="1"/>
        <c:lblAlgn val="ctr"/>
        <c:lblOffset val="100"/>
        <c:noMultiLvlLbl val="0"/>
      </c:catAx>
      <c:valAx>
        <c:axId val="798905007"/>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baseline="0">
                    <a:effectLst/>
                  </a:rPr>
                  <a:t>Percentage of Remaining Operational Capacity</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9179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Communication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'Formulas_Dont Delete'!$B$33:$C$33</c:f>
              <c:strCache>
                <c:ptCount val="2"/>
                <c:pt idx="0">
                  <c:v>Without a Backup </c:v>
                </c:pt>
              </c:strCache>
            </c:strRef>
          </c:tx>
          <c:spPr>
            <a:ln w="28575" cap="rnd">
              <a:solidFill>
                <a:srgbClr val="FF0000"/>
              </a:solidFill>
              <a:round/>
            </a:ln>
            <a:effectLst/>
          </c:spPr>
          <c:marker>
            <c:symbol val="none"/>
          </c:marker>
          <c:cat>
            <c:numRef>
              <c:f>'Formulas_Dont Delete'!$D$32:$AJ$32</c:f>
              <c:numCache>
                <c:formatCode>General</c:formatCode>
                <c:ptCount val="33"/>
                <c:pt idx="0">
                  <c:v>0</c:v>
                </c:pt>
                <c:pt idx="1">
                  <c:v>3</c:v>
                </c:pt>
                <c:pt idx="2">
                  <c:v>6</c:v>
                </c:pt>
                <c:pt idx="3">
                  <c:v>9</c:v>
                </c:pt>
                <c:pt idx="4">
                  <c:v>12</c:v>
                </c:pt>
                <c:pt idx="5">
                  <c:v>15</c:v>
                </c:pt>
                <c:pt idx="6">
                  <c:v>18</c:v>
                </c:pt>
                <c:pt idx="7">
                  <c:v>21</c:v>
                </c:pt>
                <c:pt idx="8">
                  <c:v>24</c:v>
                </c:pt>
                <c:pt idx="9">
                  <c:v>27</c:v>
                </c:pt>
                <c:pt idx="10">
                  <c:v>30</c:v>
                </c:pt>
                <c:pt idx="11">
                  <c:v>33</c:v>
                </c:pt>
                <c:pt idx="12">
                  <c:v>36</c:v>
                </c:pt>
                <c:pt idx="13">
                  <c:v>39</c:v>
                </c:pt>
                <c:pt idx="14">
                  <c:v>42</c:v>
                </c:pt>
                <c:pt idx="15">
                  <c:v>45</c:v>
                </c:pt>
                <c:pt idx="16">
                  <c:v>48</c:v>
                </c:pt>
                <c:pt idx="17">
                  <c:v>51</c:v>
                </c:pt>
                <c:pt idx="18">
                  <c:v>54</c:v>
                </c:pt>
                <c:pt idx="19">
                  <c:v>57</c:v>
                </c:pt>
                <c:pt idx="20">
                  <c:v>60</c:v>
                </c:pt>
                <c:pt idx="21">
                  <c:v>63</c:v>
                </c:pt>
                <c:pt idx="22">
                  <c:v>66</c:v>
                </c:pt>
                <c:pt idx="23">
                  <c:v>69</c:v>
                </c:pt>
                <c:pt idx="24">
                  <c:v>72</c:v>
                </c:pt>
                <c:pt idx="25">
                  <c:v>75</c:v>
                </c:pt>
                <c:pt idx="26">
                  <c:v>78</c:v>
                </c:pt>
                <c:pt idx="27">
                  <c:v>81</c:v>
                </c:pt>
                <c:pt idx="28">
                  <c:v>84</c:v>
                </c:pt>
                <c:pt idx="29">
                  <c:v>87</c:v>
                </c:pt>
                <c:pt idx="30">
                  <c:v>90</c:v>
                </c:pt>
                <c:pt idx="31">
                  <c:v>93</c:v>
                </c:pt>
                <c:pt idx="32">
                  <c:v>96</c:v>
                </c:pt>
              </c:numCache>
            </c:numRef>
          </c:cat>
          <c:val>
            <c:numRef>
              <c:f>'Formulas_Dont Delete'!$D$33:$AJ$33</c:f>
              <c:numCache>
                <c:formatCode>0</c:formatCode>
                <c:ptCount val="33"/>
                <c:pt idx="0">
                  <c:v>100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100</c:v>
                </c:pt>
                <c:pt idx="25">
                  <c:v>100</c:v>
                </c:pt>
                <c:pt idx="26">
                  <c:v>100</c:v>
                </c:pt>
                <c:pt idx="27">
                  <c:v>100</c:v>
                </c:pt>
                <c:pt idx="28">
                  <c:v>100</c:v>
                </c:pt>
                <c:pt idx="29">
                  <c:v>100</c:v>
                </c:pt>
                <c:pt idx="30">
                  <c:v>100</c:v>
                </c:pt>
                <c:pt idx="31">
                  <c:v>100</c:v>
                </c:pt>
                <c:pt idx="32">
                  <c:v>100</c:v>
                </c:pt>
              </c:numCache>
            </c:numRef>
          </c:val>
          <c:smooth val="0"/>
          <c:extLst>
            <c:ext xmlns:c16="http://schemas.microsoft.com/office/drawing/2014/chart" uri="{C3380CC4-5D6E-409C-BE32-E72D297353CC}">
              <c16:uniqueId val="{00000000-9FD0-41EC-A54E-6178E43DA6BB}"/>
            </c:ext>
          </c:extLst>
        </c:ser>
        <c:ser>
          <c:idx val="1"/>
          <c:order val="1"/>
          <c:tx>
            <c:strRef>
              <c:f>'Formulas_Dont Delete'!$B$34:$C$34</c:f>
              <c:strCache>
                <c:ptCount val="2"/>
                <c:pt idx="0">
                  <c:v>With a Backup </c:v>
                </c:pt>
              </c:strCache>
            </c:strRef>
          </c:tx>
          <c:spPr>
            <a:ln w="28575" cap="rnd">
              <a:solidFill>
                <a:srgbClr val="00B050"/>
              </a:solidFill>
              <a:prstDash val="dash"/>
              <a:round/>
            </a:ln>
            <a:effectLst/>
          </c:spPr>
          <c:marker>
            <c:symbol val="none"/>
          </c:marker>
          <c:cat>
            <c:numRef>
              <c:f>'Formulas_Dont Delete'!$D$32:$AJ$32</c:f>
              <c:numCache>
                <c:formatCode>General</c:formatCode>
                <c:ptCount val="33"/>
                <c:pt idx="0">
                  <c:v>0</c:v>
                </c:pt>
                <c:pt idx="1">
                  <c:v>3</c:v>
                </c:pt>
                <c:pt idx="2">
                  <c:v>6</c:v>
                </c:pt>
                <c:pt idx="3">
                  <c:v>9</c:v>
                </c:pt>
                <c:pt idx="4">
                  <c:v>12</c:v>
                </c:pt>
                <c:pt idx="5">
                  <c:v>15</c:v>
                </c:pt>
                <c:pt idx="6">
                  <c:v>18</c:v>
                </c:pt>
                <c:pt idx="7">
                  <c:v>21</c:v>
                </c:pt>
                <c:pt idx="8">
                  <c:v>24</c:v>
                </c:pt>
                <c:pt idx="9">
                  <c:v>27</c:v>
                </c:pt>
                <c:pt idx="10">
                  <c:v>30</c:v>
                </c:pt>
                <c:pt idx="11">
                  <c:v>33</c:v>
                </c:pt>
                <c:pt idx="12">
                  <c:v>36</c:v>
                </c:pt>
                <c:pt idx="13">
                  <c:v>39</c:v>
                </c:pt>
                <c:pt idx="14">
                  <c:v>42</c:v>
                </c:pt>
                <c:pt idx="15">
                  <c:v>45</c:v>
                </c:pt>
                <c:pt idx="16">
                  <c:v>48</c:v>
                </c:pt>
                <c:pt idx="17">
                  <c:v>51</c:v>
                </c:pt>
                <c:pt idx="18">
                  <c:v>54</c:v>
                </c:pt>
                <c:pt idx="19">
                  <c:v>57</c:v>
                </c:pt>
                <c:pt idx="20">
                  <c:v>60</c:v>
                </c:pt>
                <c:pt idx="21">
                  <c:v>63</c:v>
                </c:pt>
                <c:pt idx="22">
                  <c:v>66</c:v>
                </c:pt>
                <c:pt idx="23">
                  <c:v>69</c:v>
                </c:pt>
                <c:pt idx="24">
                  <c:v>72</c:v>
                </c:pt>
                <c:pt idx="25">
                  <c:v>75</c:v>
                </c:pt>
                <c:pt idx="26">
                  <c:v>78</c:v>
                </c:pt>
                <c:pt idx="27">
                  <c:v>81</c:v>
                </c:pt>
                <c:pt idx="28">
                  <c:v>84</c:v>
                </c:pt>
                <c:pt idx="29">
                  <c:v>87</c:v>
                </c:pt>
                <c:pt idx="30">
                  <c:v>90</c:v>
                </c:pt>
                <c:pt idx="31">
                  <c:v>93</c:v>
                </c:pt>
                <c:pt idx="32">
                  <c:v>96</c:v>
                </c:pt>
              </c:numCache>
            </c:numRef>
          </c:cat>
          <c:val>
            <c:numRef>
              <c:f>'Formulas_Dont Delete'!$D$34:$AJ$34</c:f>
              <c:numCache>
                <c:formatCode>0</c:formatCode>
                <c:ptCount val="33"/>
                <c:pt idx="0">
                  <c:v>100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100</c:v>
                </c:pt>
                <c:pt idx="25">
                  <c:v>100</c:v>
                </c:pt>
                <c:pt idx="26">
                  <c:v>100</c:v>
                </c:pt>
                <c:pt idx="27">
                  <c:v>100</c:v>
                </c:pt>
                <c:pt idx="28">
                  <c:v>100</c:v>
                </c:pt>
                <c:pt idx="29">
                  <c:v>100</c:v>
                </c:pt>
                <c:pt idx="30">
                  <c:v>100</c:v>
                </c:pt>
                <c:pt idx="31">
                  <c:v>100</c:v>
                </c:pt>
                <c:pt idx="32">
                  <c:v>100</c:v>
                </c:pt>
              </c:numCache>
            </c:numRef>
          </c:val>
          <c:smooth val="0"/>
          <c:extLst>
            <c:ext xmlns:c16="http://schemas.microsoft.com/office/drawing/2014/chart" uri="{C3380CC4-5D6E-409C-BE32-E72D297353CC}">
              <c16:uniqueId val="{00000001-9FD0-41EC-A54E-6178E43DA6BB}"/>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smooth val="0"/>
        <c:axId val="889991151"/>
        <c:axId val="889993071"/>
      </c:lineChart>
      <c:catAx>
        <c:axId val="88999115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a:t>
                </a:r>
                <a:r>
                  <a:rPr lang="en-US" baseline="0"/>
                  <a:t> (Hours)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9993071"/>
        <c:crosses val="autoZero"/>
        <c:auto val="1"/>
        <c:lblAlgn val="ctr"/>
        <c:lblOffset val="100"/>
        <c:noMultiLvlLbl val="0"/>
      </c:catAx>
      <c:valAx>
        <c:axId val="889993071"/>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en-US" sz="1000" b="0" i="0" u="none" strike="noStrike" kern="1200" baseline="0">
                    <a:solidFill>
                      <a:sysClr val="windowText" lastClr="000000">
                        <a:lumMod val="65000"/>
                        <a:lumOff val="35000"/>
                      </a:sysClr>
                    </a:solidFill>
                    <a:effectLst/>
                  </a:rPr>
                  <a:t>Percentage of Remaining Operational Capacity</a:t>
                </a:r>
                <a:endParaRPr lang="en-US" sz="1000" b="0" i="0" u="none" strike="noStrike" kern="1200" baseline="0">
                  <a:solidFill>
                    <a:sysClr val="windowText" lastClr="000000">
                      <a:lumMod val="65000"/>
                      <a:lumOff val="35000"/>
                    </a:sysClr>
                  </a:solidFill>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99911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Information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'Formulas_Dont Delete'!$B$26:$C$26</c:f>
              <c:strCache>
                <c:ptCount val="2"/>
                <c:pt idx="0">
                  <c:v>Without a Backup </c:v>
                </c:pt>
              </c:strCache>
            </c:strRef>
          </c:tx>
          <c:spPr>
            <a:ln w="28575" cap="rnd">
              <a:solidFill>
                <a:srgbClr val="FF0000"/>
              </a:solidFill>
              <a:round/>
            </a:ln>
            <a:effectLst/>
          </c:spPr>
          <c:marker>
            <c:symbol val="none"/>
          </c:marker>
          <c:cat>
            <c:numRef>
              <c:f>'Formulas_Dont Delete'!$D$25:$AJ$25</c:f>
              <c:numCache>
                <c:formatCode>General</c:formatCode>
                <c:ptCount val="33"/>
                <c:pt idx="0">
                  <c:v>0</c:v>
                </c:pt>
                <c:pt idx="1">
                  <c:v>3</c:v>
                </c:pt>
                <c:pt idx="2">
                  <c:v>6</c:v>
                </c:pt>
                <c:pt idx="3">
                  <c:v>9</c:v>
                </c:pt>
                <c:pt idx="4">
                  <c:v>12</c:v>
                </c:pt>
                <c:pt idx="5">
                  <c:v>15</c:v>
                </c:pt>
                <c:pt idx="6">
                  <c:v>18</c:v>
                </c:pt>
                <c:pt idx="7">
                  <c:v>21</c:v>
                </c:pt>
                <c:pt idx="8">
                  <c:v>24</c:v>
                </c:pt>
                <c:pt idx="9">
                  <c:v>27</c:v>
                </c:pt>
                <c:pt idx="10">
                  <c:v>30</c:v>
                </c:pt>
                <c:pt idx="11">
                  <c:v>33</c:v>
                </c:pt>
                <c:pt idx="12">
                  <c:v>36</c:v>
                </c:pt>
                <c:pt idx="13">
                  <c:v>39</c:v>
                </c:pt>
                <c:pt idx="14">
                  <c:v>42</c:v>
                </c:pt>
                <c:pt idx="15">
                  <c:v>45</c:v>
                </c:pt>
                <c:pt idx="16">
                  <c:v>48</c:v>
                </c:pt>
                <c:pt idx="17">
                  <c:v>51</c:v>
                </c:pt>
                <c:pt idx="18">
                  <c:v>54</c:v>
                </c:pt>
                <c:pt idx="19">
                  <c:v>57</c:v>
                </c:pt>
                <c:pt idx="20">
                  <c:v>60</c:v>
                </c:pt>
                <c:pt idx="21">
                  <c:v>63</c:v>
                </c:pt>
                <c:pt idx="22">
                  <c:v>66</c:v>
                </c:pt>
                <c:pt idx="23">
                  <c:v>69</c:v>
                </c:pt>
                <c:pt idx="24">
                  <c:v>72</c:v>
                </c:pt>
                <c:pt idx="25">
                  <c:v>75</c:v>
                </c:pt>
                <c:pt idx="26">
                  <c:v>78</c:v>
                </c:pt>
                <c:pt idx="27">
                  <c:v>81</c:v>
                </c:pt>
                <c:pt idx="28">
                  <c:v>84</c:v>
                </c:pt>
                <c:pt idx="29">
                  <c:v>87</c:v>
                </c:pt>
                <c:pt idx="30">
                  <c:v>90</c:v>
                </c:pt>
                <c:pt idx="31">
                  <c:v>93</c:v>
                </c:pt>
                <c:pt idx="32">
                  <c:v>96</c:v>
                </c:pt>
              </c:numCache>
            </c:numRef>
          </c:cat>
          <c:val>
            <c:numRef>
              <c:f>'Formulas_Dont Delete'!$D$26:$AJ$26</c:f>
              <c:numCache>
                <c:formatCode>General</c:formatCode>
                <c:ptCount val="33"/>
                <c:pt idx="0" formatCode="0">
                  <c:v>100</c:v>
                </c:pt>
                <c:pt idx="1">
                  <c:v>100</c:v>
                </c:pt>
                <c:pt idx="2" formatCode="0">
                  <c:v>20</c:v>
                </c:pt>
                <c:pt idx="3" formatCode="0">
                  <c:v>20</c:v>
                </c:pt>
                <c:pt idx="4" formatCode="0">
                  <c:v>20</c:v>
                </c:pt>
                <c:pt idx="5" formatCode="0">
                  <c:v>20</c:v>
                </c:pt>
                <c:pt idx="6" formatCode="0">
                  <c:v>20</c:v>
                </c:pt>
                <c:pt idx="7" formatCode="0">
                  <c:v>20</c:v>
                </c:pt>
                <c:pt idx="8" formatCode="0">
                  <c:v>20</c:v>
                </c:pt>
                <c:pt idx="9" formatCode="0">
                  <c:v>20</c:v>
                </c:pt>
                <c:pt idx="10" formatCode="0">
                  <c:v>20</c:v>
                </c:pt>
                <c:pt idx="11" formatCode="0">
                  <c:v>20</c:v>
                </c:pt>
                <c:pt idx="12" formatCode="0">
                  <c:v>20</c:v>
                </c:pt>
                <c:pt idx="13" formatCode="0">
                  <c:v>20</c:v>
                </c:pt>
                <c:pt idx="14" formatCode="0">
                  <c:v>20</c:v>
                </c:pt>
                <c:pt idx="15" formatCode="0">
                  <c:v>20</c:v>
                </c:pt>
                <c:pt idx="16" formatCode="0">
                  <c:v>20</c:v>
                </c:pt>
                <c:pt idx="17" formatCode="0">
                  <c:v>20</c:v>
                </c:pt>
                <c:pt idx="18" formatCode="0">
                  <c:v>20</c:v>
                </c:pt>
                <c:pt idx="19" formatCode="0">
                  <c:v>20</c:v>
                </c:pt>
                <c:pt idx="20" formatCode="0">
                  <c:v>20</c:v>
                </c:pt>
                <c:pt idx="21" formatCode="0">
                  <c:v>20</c:v>
                </c:pt>
                <c:pt idx="22" formatCode="0">
                  <c:v>20</c:v>
                </c:pt>
                <c:pt idx="23" formatCode="0">
                  <c:v>20</c:v>
                </c:pt>
                <c:pt idx="24" formatCode="0">
                  <c:v>100</c:v>
                </c:pt>
                <c:pt idx="25" formatCode="0">
                  <c:v>100</c:v>
                </c:pt>
                <c:pt idx="26" formatCode="0">
                  <c:v>100</c:v>
                </c:pt>
                <c:pt idx="27" formatCode="0">
                  <c:v>100</c:v>
                </c:pt>
                <c:pt idx="28" formatCode="0">
                  <c:v>100</c:v>
                </c:pt>
                <c:pt idx="29" formatCode="0">
                  <c:v>100</c:v>
                </c:pt>
                <c:pt idx="30" formatCode="0">
                  <c:v>100</c:v>
                </c:pt>
                <c:pt idx="31" formatCode="0">
                  <c:v>100</c:v>
                </c:pt>
                <c:pt idx="32" formatCode="0">
                  <c:v>100</c:v>
                </c:pt>
              </c:numCache>
            </c:numRef>
          </c:val>
          <c:smooth val="0"/>
          <c:extLst>
            <c:ext xmlns:c16="http://schemas.microsoft.com/office/drawing/2014/chart" uri="{C3380CC4-5D6E-409C-BE32-E72D297353CC}">
              <c16:uniqueId val="{00000000-427B-47CF-A7E5-AFFE504CB0CC}"/>
            </c:ext>
          </c:extLst>
        </c:ser>
        <c:ser>
          <c:idx val="1"/>
          <c:order val="1"/>
          <c:tx>
            <c:strRef>
              <c:f>'Formulas_Dont Delete'!$B$27:$C$27</c:f>
              <c:strCache>
                <c:ptCount val="2"/>
                <c:pt idx="0">
                  <c:v>With a Backup </c:v>
                </c:pt>
              </c:strCache>
            </c:strRef>
          </c:tx>
          <c:spPr>
            <a:ln w="28575" cap="rnd">
              <a:solidFill>
                <a:srgbClr val="00B050"/>
              </a:solidFill>
              <a:prstDash val="dash"/>
              <a:round/>
            </a:ln>
            <a:effectLst/>
          </c:spPr>
          <c:marker>
            <c:symbol val="none"/>
          </c:marker>
          <c:cat>
            <c:numRef>
              <c:f>'Formulas_Dont Delete'!$D$25:$AJ$25</c:f>
              <c:numCache>
                <c:formatCode>General</c:formatCode>
                <c:ptCount val="33"/>
                <c:pt idx="0">
                  <c:v>0</c:v>
                </c:pt>
                <c:pt idx="1">
                  <c:v>3</c:v>
                </c:pt>
                <c:pt idx="2">
                  <c:v>6</c:v>
                </c:pt>
                <c:pt idx="3">
                  <c:v>9</c:v>
                </c:pt>
                <c:pt idx="4">
                  <c:v>12</c:v>
                </c:pt>
                <c:pt idx="5">
                  <c:v>15</c:v>
                </c:pt>
                <c:pt idx="6">
                  <c:v>18</c:v>
                </c:pt>
                <c:pt idx="7">
                  <c:v>21</c:v>
                </c:pt>
                <c:pt idx="8">
                  <c:v>24</c:v>
                </c:pt>
                <c:pt idx="9">
                  <c:v>27</c:v>
                </c:pt>
                <c:pt idx="10">
                  <c:v>30</c:v>
                </c:pt>
                <c:pt idx="11">
                  <c:v>33</c:v>
                </c:pt>
                <c:pt idx="12">
                  <c:v>36</c:v>
                </c:pt>
                <c:pt idx="13">
                  <c:v>39</c:v>
                </c:pt>
                <c:pt idx="14">
                  <c:v>42</c:v>
                </c:pt>
                <c:pt idx="15">
                  <c:v>45</c:v>
                </c:pt>
                <c:pt idx="16">
                  <c:v>48</c:v>
                </c:pt>
                <c:pt idx="17">
                  <c:v>51</c:v>
                </c:pt>
                <c:pt idx="18">
                  <c:v>54</c:v>
                </c:pt>
                <c:pt idx="19">
                  <c:v>57</c:v>
                </c:pt>
                <c:pt idx="20">
                  <c:v>60</c:v>
                </c:pt>
                <c:pt idx="21">
                  <c:v>63</c:v>
                </c:pt>
                <c:pt idx="22">
                  <c:v>66</c:v>
                </c:pt>
                <c:pt idx="23">
                  <c:v>69</c:v>
                </c:pt>
                <c:pt idx="24">
                  <c:v>72</c:v>
                </c:pt>
                <c:pt idx="25">
                  <c:v>75</c:v>
                </c:pt>
                <c:pt idx="26">
                  <c:v>78</c:v>
                </c:pt>
                <c:pt idx="27">
                  <c:v>81</c:v>
                </c:pt>
                <c:pt idx="28">
                  <c:v>84</c:v>
                </c:pt>
                <c:pt idx="29">
                  <c:v>87</c:v>
                </c:pt>
                <c:pt idx="30">
                  <c:v>90</c:v>
                </c:pt>
                <c:pt idx="31">
                  <c:v>93</c:v>
                </c:pt>
                <c:pt idx="32">
                  <c:v>96</c:v>
                </c:pt>
              </c:numCache>
            </c:numRef>
          </c:cat>
          <c:val>
            <c:numRef>
              <c:f>'Formulas_Dont Delete'!$D$27:$AJ$27</c:f>
              <c:numCache>
                <c:formatCode>0</c:formatCode>
                <c:ptCount val="33"/>
                <c:pt idx="0">
                  <c:v>100</c:v>
                </c:pt>
                <c:pt idx="1">
                  <c:v>100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pt idx="18">
                  <c:v>20</c:v>
                </c:pt>
                <c:pt idx="19">
                  <c:v>20</c:v>
                </c:pt>
                <c:pt idx="20">
                  <c:v>20</c:v>
                </c:pt>
                <c:pt idx="21">
                  <c:v>20</c:v>
                </c:pt>
                <c:pt idx="22">
                  <c:v>20</c:v>
                </c:pt>
                <c:pt idx="23">
                  <c:v>20</c:v>
                </c:pt>
                <c:pt idx="24">
                  <c:v>100</c:v>
                </c:pt>
                <c:pt idx="25">
                  <c:v>100</c:v>
                </c:pt>
                <c:pt idx="26">
                  <c:v>100</c:v>
                </c:pt>
                <c:pt idx="27">
                  <c:v>100</c:v>
                </c:pt>
                <c:pt idx="28">
                  <c:v>100</c:v>
                </c:pt>
                <c:pt idx="29">
                  <c:v>100</c:v>
                </c:pt>
                <c:pt idx="30">
                  <c:v>100</c:v>
                </c:pt>
                <c:pt idx="31">
                  <c:v>100</c:v>
                </c:pt>
                <c:pt idx="32">
                  <c:v>100</c:v>
                </c:pt>
              </c:numCache>
            </c:numRef>
          </c:val>
          <c:smooth val="0"/>
          <c:extLst>
            <c:ext xmlns:c16="http://schemas.microsoft.com/office/drawing/2014/chart" uri="{C3380CC4-5D6E-409C-BE32-E72D297353CC}">
              <c16:uniqueId val="{00000001-427B-47CF-A7E5-AFFE504CB0CC}"/>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smooth val="0"/>
        <c:axId val="889684143"/>
        <c:axId val="889683183"/>
      </c:lineChart>
      <c:catAx>
        <c:axId val="88968414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(Hours)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9683183"/>
        <c:crosses val="autoZero"/>
        <c:auto val="1"/>
        <c:lblAlgn val="ctr"/>
        <c:lblOffset val="100"/>
        <c:noMultiLvlLbl val="0"/>
      </c:catAx>
      <c:valAx>
        <c:axId val="889683183"/>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effectLst/>
                  </a:rPr>
                  <a:t>Percentage of Remaining Operational Capacity</a:t>
                </a:r>
                <a:endParaRPr lang="en-US" sz="1000" b="0" i="0" u="none" strike="noStrike" kern="1200" baseline="0">
                  <a:solidFill>
                    <a:sysClr val="windowText" lastClr="000000">
                      <a:lumMod val="65000"/>
                      <a:lumOff val="35000"/>
                    </a:sysClr>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9684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Critical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'Formulas_Dont Delete'!$B$40:$C$40</c:f>
              <c:strCache>
                <c:ptCount val="2"/>
                <c:pt idx="0">
                  <c:v>Without a Backup</c:v>
                </c:pt>
              </c:strCache>
            </c:strRef>
          </c:tx>
          <c:spPr>
            <a:ln w="28575" cap="rnd">
              <a:solidFill>
                <a:srgbClr val="FF0000"/>
              </a:solidFill>
              <a:round/>
            </a:ln>
            <a:effectLst/>
          </c:spPr>
          <c:marker>
            <c:symbol val="none"/>
          </c:marker>
          <c:cat>
            <c:numRef>
              <c:f>'Formulas_Dont Delete'!$D$39:$AJ$39</c:f>
              <c:numCache>
                <c:formatCode>General</c:formatCode>
                <c:ptCount val="33"/>
                <c:pt idx="0">
                  <c:v>0</c:v>
                </c:pt>
                <c:pt idx="1">
                  <c:v>3</c:v>
                </c:pt>
                <c:pt idx="2">
                  <c:v>6</c:v>
                </c:pt>
                <c:pt idx="3">
                  <c:v>9</c:v>
                </c:pt>
                <c:pt idx="4">
                  <c:v>12</c:v>
                </c:pt>
                <c:pt idx="5">
                  <c:v>15</c:v>
                </c:pt>
                <c:pt idx="6">
                  <c:v>18</c:v>
                </c:pt>
                <c:pt idx="7">
                  <c:v>21</c:v>
                </c:pt>
                <c:pt idx="8">
                  <c:v>24</c:v>
                </c:pt>
                <c:pt idx="9">
                  <c:v>27</c:v>
                </c:pt>
                <c:pt idx="10">
                  <c:v>30</c:v>
                </c:pt>
                <c:pt idx="11">
                  <c:v>33</c:v>
                </c:pt>
                <c:pt idx="12">
                  <c:v>36</c:v>
                </c:pt>
                <c:pt idx="13">
                  <c:v>39</c:v>
                </c:pt>
                <c:pt idx="14">
                  <c:v>42</c:v>
                </c:pt>
                <c:pt idx="15">
                  <c:v>45</c:v>
                </c:pt>
                <c:pt idx="16">
                  <c:v>48</c:v>
                </c:pt>
                <c:pt idx="17">
                  <c:v>51</c:v>
                </c:pt>
                <c:pt idx="18">
                  <c:v>54</c:v>
                </c:pt>
                <c:pt idx="19">
                  <c:v>57</c:v>
                </c:pt>
                <c:pt idx="20">
                  <c:v>60</c:v>
                </c:pt>
                <c:pt idx="21">
                  <c:v>63</c:v>
                </c:pt>
                <c:pt idx="22">
                  <c:v>66</c:v>
                </c:pt>
                <c:pt idx="23">
                  <c:v>69</c:v>
                </c:pt>
                <c:pt idx="24">
                  <c:v>72</c:v>
                </c:pt>
                <c:pt idx="25">
                  <c:v>75</c:v>
                </c:pt>
                <c:pt idx="26">
                  <c:v>78</c:v>
                </c:pt>
                <c:pt idx="27">
                  <c:v>81</c:v>
                </c:pt>
                <c:pt idx="28">
                  <c:v>84</c:v>
                </c:pt>
                <c:pt idx="29">
                  <c:v>87</c:v>
                </c:pt>
                <c:pt idx="30">
                  <c:v>90</c:v>
                </c:pt>
                <c:pt idx="31">
                  <c:v>93</c:v>
                </c:pt>
                <c:pt idx="32">
                  <c:v>96</c:v>
                </c:pt>
              </c:numCache>
            </c:numRef>
          </c:cat>
          <c:val>
            <c:numRef>
              <c:f>'Formulas_Dont Delete'!$D$40:$AJ$40</c:f>
              <c:numCache>
                <c:formatCode>0</c:formatCode>
                <c:ptCount val="33"/>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pt idx="32">
                  <c:v>100</c:v>
                </c:pt>
              </c:numCache>
            </c:numRef>
          </c:val>
          <c:smooth val="0"/>
          <c:extLst>
            <c:ext xmlns:c16="http://schemas.microsoft.com/office/drawing/2014/chart" uri="{C3380CC4-5D6E-409C-BE32-E72D297353CC}">
              <c16:uniqueId val="{00000000-1425-4D96-97A1-17009408B5B6}"/>
            </c:ext>
          </c:extLst>
        </c:ser>
        <c:ser>
          <c:idx val="1"/>
          <c:order val="1"/>
          <c:tx>
            <c:strRef>
              <c:f>'Formulas_Dont Delete'!$B$41:$C$41</c:f>
              <c:strCache>
                <c:ptCount val="2"/>
                <c:pt idx="0">
                  <c:v>With a Backup</c:v>
                </c:pt>
              </c:strCache>
            </c:strRef>
          </c:tx>
          <c:spPr>
            <a:ln w="28575" cap="rnd">
              <a:solidFill>
                <a:srgbClr val="00B050"/>
              </a:solidFill>
              <a:prstDash val="dash"/>
              <a:round/>
            </a:ln>
            <a:effectLst/>
          </c:spPr>
          <c:marker>
            <c:symbol val="none"/>
          </c:marker>
          <c:cat>
            <c:numRef>
              <c:f>'Formulas_Dont Delete'!$D$39:$AJ$39</c:f>
              <c:numCache>
                <c:formatCode>General</c:formatCode>
                <c:ptCount val="33"/>
                <c:pt idx="0">
                  <c:v>0</c:v>
                </c:pt>
                <c:pt idx="1">
                  <c:v>3</c:v>
                </c:pt>
                <c:pt idx="2">
                  <c:v>6</c:v>
                </c:pt>
                <c:pt idx="3">
                  <c:v>9</c:v>
                </c:pt>
                <c:pt idx="4">
                  <c:v>12</c:v>
                </c:pt>
                <c:pt idx="5">
                  <c:v>15</c:v>
                </c:pt>
                <c:pt idx="6">
                  <c:v>18</c:v>
                </c:pt>
                <c:pt idx="7">
                  <c:v>21</c:v>
                </c:pt>
                <c:pt idx="8">
                  <c:v>24</c:v>
                </c:pt>
                <c:pt idx="9">
                  <c:v>27</c:v>
                </c:pt>
                <c:pt idx="10">
                  <c:v>30</c:v>
                </c:pt>
                <c:pt idx="11">
                  <c:v>33</c:v>
                </c:pt>
                <c:pt idx="12">
                  <c:v>36</c:v>
                </c:pt>
                <c:pt idx="13">
                  <c:v>39</c:v>
                </c:pt>
                <c:pt idx="14">
                  <c:v>42</c:v>
                </c:pt>
                <c:pt idx="15">
                  <c:v>45</c:v>
                </c:pt>
                <c:pt idx="16">
                  <c:v>48</c:v>
                </c:pt>
                <c:pt idx="17">
                  <c:v>51</c:v>
                </c:pt>
                <c:pt idx="18">
                  <c:v>54</c:v>
                </c:pt>
                <c:pt idx="19">
                  <c:v>57</c:v>
                </c:pt>
                <c:pt idx="20">
                  <c:v>60</c:v>
                </c:pt>
                <c:pt idx="21">
                  <c:v>63</c:v>
                </c:pt>
                <c:pt idx="22">
                  <c:v>66</c:v>
                </c:pt>
                <c:pt idx="23">
                  <c:v>69</c:v>
                </c:pt>
                <c:pt idx="24">
                  <c:v>72</c:v>
                </c:pt>
                <c:pt idx="25">
                  <c:v>75</c:v>
                </c:pt>
                <c:pt idx="26">
                  <c:v>78</c:v>
                </c:pt>
                <c:pt idx="27">
                  <c:v>81</c:v>
                </c:pt>
                <c:pt idx="28">
                  <c:v>84</c:v>
                </c:pt>
                <c:pt idx="29">
                  <c:v>87</c:v>
                </c:pt>
                <c:pt idx="30">
                  <c:v>90</c:v>
                </c:pt>
                <c:pt idx="31">
                  <c:v>93</c:v>
                </c:pt>
                <c:pt idx="32">
                  <c:v>96</c:v>
                </c:pt>
              </c:numCache>
            </c:numRef>
          </c:cat>
          <c:val>
            <c:numRef>
              <c:f>'Formulas_Dont Delete'!$D$41:$AJ$41</c:f>
              <c:numCache>
                <c:formatCode>0</c:formatCode>
                <c:ptCount val="33"/>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pt idx="32">
                  <c:v>100</c:v>
                </c:pt>
              </c:numCache>
            </c:numRef>
          </c:val>
          <c:smooth val="0"/>
          <c:extLst>
            <c:ext xmlns:c16="http://schemas.microsoft.com/office/drawing/2014/chart" uri="{C3380CC4-5D6E-409C-BE32-E72D297353CC}">
              <c16:uniqueId val="{00000001-1425-4D96-97A1-17009408B5B6}"/>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smooth val="0"/>
        <c:axId val="996008064"/>
        <c:axId val="996009024"/>
      </c:lineChart>
      <c:catAx>
        <c:axId val="99600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(Hours)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6009024"/>
        <c:crosses val="autoZero"/>
        <c:auto val="1"/>
        <c:lblAlgn val="ctr"/>
        <c:lblOffset val="100"/>
        <c:noMultiLvlLbl val="0"/>
      </c:catAx>
      <c:valAx>
        <c:axId val="9960090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en-US" sz="1000" b="0" i="0" u="none" strike="noStrike" kern="1200" baseline="0">
                    <a:solidFill>
                      <a:sysClr val="windowText" lastClr="000000">
                        <a:lumMod val="65000"/>
                        <a:lumOff val="35000"/>
                      </a:sysClr>
                    </a:solidFill>
                    <a:effectLst/>
                  </a:rPr>
                  <a:t>Percentage of Remaining Operational Capacity</a:t>
                </a:r>
                <a:endParaRPr lang="en-US" sz="1000" b="0" i="0" u="none" strike="noStrike" kern="1200" baseline="0">
                  <a:solidFill>
                    <a:sysClr val="windowText" lastClr="000000">
                      <a:lumMod val="65000"/>
                      <a:lumOff val="35000"/>
                    </a:sysClr>
                  </a:solidFill>
                </a:endParaRPr>
              </a:p>
            </c:rich>
          </c:tx>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6008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Water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'Formulas_Dont Delete'!$B$12:$C$12</c:f>
              <c:strCache>
                <c:ptCount val="2"/>
                <c:pt idx="0">
                  <c:v>Without a Backup</c:v>
                </c:pt>
              </c:strCache>
            </c:strRef>
          </c:tx>
          <c:spPr>
            <a:ln w="28575" cap="rnd">
              <a:solidFill>
                <a:srgbClr val="FF0000"/>
              </a:solidFill>
              <a:round/>
            </a:ln>
            <a:effectLst/>
          </c:spPr>
          <c:marker>
            <c:symbol val="none"/>
          </c:marker>
          <c:cat>
            <c:numRef>
              <c:f>'Formulas_Dont Delete'!$D$11:$AJ$11</c:f>
              <c:numCache>
                <c:formatCode>General</c:formatCode>
                <c:ptCount val="33"/>
                <c:pt idx="0">
                  <c:v>0</c:v>
                </c:pt>
                <c:pt idx="1">
                  <c:v>3</c:v>
                </c:pt>
                <c:pt idx="2">
                  <c:v>6</c:v>
                </c:pt>
                <c:pt idx="3">
                  <c:v>9</c:v>
                </c:pt>
                <c:pt idx="4">
                  <c:v>12</c:v>
                </c:pt>
                <c:pt idx="5">
                  <c:v>15</c:v>
                </c:pt>
                <c:pt idx="6">
                  <c:v>18</c:v>
                </c:pt>
                <c:pt idx="7">
                  <c:v>21</c:v>
                </c:pt>
                <c:pt idx="8">
                  <c:v>24</c:v>
                </c:pt>
                <c:pt idx="9">
                  <c:v>27</c:v>
                </c:pt>
                <c:pt idx="10">
                  <c:v>30</c:v>
                </c:pt>
                <c:pt idx="11">
                  <c:v>33</c:v>
                </c:pt>
                <c:pt idx="12">
                  <c:v>36</c:v>
                </c:pt>
                <c:pt idx="13">
                  <c:v>39</c:v>
                </c:pt>
                <c:pt idx="14">
                  <c:v>42</c:v>
                </c:pt>
                <c:pt idx="15">
                  <c:v>45</c:v>
                </c:pt>
                <c:pt idx="16">
                  <c:v>48</c:v>
                </c:pt>
                <c:pt idx="17">
                  <c:v>51</c:v>
                </c:pt>
                <c:pt idx="18">
                  <c:v>54</c:v>
                </c:pt>
                <c:pt idx="19">
                  <c:v>57</c:v>
                </c:pt>
                <c:pt idx="20">
                  <c:v>60</c:v>
                </c:pt>
                <c:pt idx="21">
                  <c:v>63</c:v>
                </c:pt>
                <c:pt idx="22">
                  <c:v>66</c:v>
                </c:pt>
                <c:pt idx="23">
                  <c:v>69</c:v>
                </c:pt>
                <c:pt idx="24">
                  <c:v>72</c:v>
                </c:pt>
                <c:pt idx="25">
                  <c:v>75</c:v>
                </c:pt>
                <c:pt idx="26">
                  <c:v>78</c:v>
                </c:pt>
                <c:pt idx="27">
                  <c:v>81</c:v>
                </c:pt>
                <c:pt idx="28">
                  <c:v>84</c:v>
                </c:pt>
                <c:pt idx="29">
                  <c:v>87</c:v>
                </c:pt>
                <c:pt idx="30">
                  <c:v>90</c:v>
                </c:pt>
                <c:pt idx="31">
                  <c:v>93</c:v>
                </c:pt>
                <c:pt idx="32">
                  <c:v>96</c:v>
                </c:pt>
              </c:numCache>
            </c:numRef>
          </c:cat>
          <c:val>
            <c:numRef>
              <c:f>'Formulas_Dont Delete'!$D$12:$AJ$12</c:f>
              <c:numCache>
                <c:formatCode>0</c:formatCode>
                <c:ptCount val="33"/>
                <c:pt idx="0">
                  <c:v>100</c:v>
                </c:pt>
                <c:pt idx="1">
                  <c:v>55</c:v>
                </c:pt>
                <c:pt idx="2">
                  <c:v>55</c:v>
                </c:pt>
                <c:pt idx="3">
                  <c:v>55</c:v>
                </c:pt>
                <c:pt idx="4">
                  <c:v>55</c:v>
                </c:pt>
                <c:pt idx="5">
                  <c:v>55</c:v>
                </c:pt>
                <c:pt idx="6">
                  <c:v>55</c:v>
                </c:pt>
                <c:pt idx="7">
                  <c:v>55</c:v>
                </c:pt>
                <c:pt idx="8">
                  <c:v>55</c:v>
                </c:pt>
                <c:pt idx="9">
                  <c:v>55</c:v>
                </c:pt>
                <c:pt idx="10">
                  <c:v>55</c:v>
                </c:pt>
                <c:pt idx="11">
                  <c:v>55</c:v>
                </c:pt>
                <c:pt idx="12">
                  <c:v>55</c:v>
                </c:pt>
                <c:pt idx="13">
                  <c:v>55</c:v>
                </c:pt>
                <c:pt idx="14">
                  <c:v>55</c:v>
                </c:pt>
                <c:pt idx="15">
                  <c:v>55</c:v>
                </c:pt>
                <c:pt idx="16">
                  <c:v>55</c:v>
                </c:pt>
                <c:pt idx="17">
                  <c:v>55</c:v>
                </c:pt>
                <c:pt idx="18">
                  <c:v>55</c:v>
                </c:pt>
                <c:pt idx="19">
                  <c:v>55</c:v>
                </c:pt>
                <c:pt idx="20">
                  <c:v>55</c:v>
                </c:pt>
                <c:pt idx="21">
                  <c:v>55</c:v>
                </c:pt>
                <c:pt idx="22">
                  <c:v>55</c:v>
                </c:pt>
                <c:pt idx="23">
                  <c:v>55</c:v>
                </c:pt>
                <c:pt idx="24">
                  <c:v>100</c:v>
                </c:pt>
                <c:pt idx="25">
                  <c:v>100</c:v>
                </c:pt>
                <c:pt idx="26">
                  <c:v>100</c:v>
                </c:pt>
                <c:pt idx="27">
                  <c:v>100</c:v>
                </c:pt>
                <c:pt idx="28">
                  <c:v>100</c:v>
                </c:pt>
                <c:pt idx="29">
                  <c:v>100</c:v>
                </c:pt>
                <c:pt idx="30">
                  <c:v>100</c:v>
                </c:pt>
                <c:pt idx="31">
                  <c:v>100</c:v>
                </c:pt>
                <c:pt idx="32">
                  <c:v>100</c:v>
                </c:pt>
              </c:numCache>
            </c:numRef>
          </c:val>
          <c:smooth val="0"/>
          <c:extLst>
            <c:ext xmlns:c16="http://schemas.microsoft.com/office/drawing/2014/chart" uri="{C3380CC4-5D6E-409C-BE32-E72D297353CC}">
              <c16:uniqueId val="{00000000-AE4C-4B14-9DF7-8B8D95DE2815}"/>
            </c:ext>
          </c:extLst>
        </c:ser>
        <c:ser>
          <c:idx val="1"/>
          <c:order val="1"/>
          <c:tx>
            <c:strRef>
              <c:f>'Formulas_Dont Delete'!$B$13:$C$13</c:f>
              <c:strCache>
                <c:ptCount val="2"/>
                <c:pt idx="0">
                  <c:v>With a Backup </c:v>
                </c:pt>
              </c:strCache>
            </c:strRef>
          </c:tx>
          <c:spPr>
            <a:ln w="28575" cap="rnd">
              <a:solidFill>
                <a:srgbClr val="00B050"/>
              </a:solidFill>
              <a:prstDash val="dash"/>
              <a:round/>
            </a:ln>
            <a:effectLst/>
          </c:spPr>
          <c:marker>
            <c:symbol val="none"/>
          </c:marker>
          <c:cat>
            <c:numRef>
              <c:f>'Formulas_Dont Delete'!$D$11:$AJ$11</c:f>
              <c:numCache>
                <c:formatCode>General</c:formatCode>
                <c:ptCount val="33"/>
                <c:pt idx="0">
                  <c:v>0</c:v>
                </c:pt>
                <c:pt idx="1">
                  <c:v>3</c:v>
                </c:pt>
                <c:pt idx="2">
                  <c:v>6</c:v>
                </c:pt>
                <c:pt idx="3">
                  <c:v>9</c:v>
                </c:pt>
                <c:pt idx="4">
                  <c:v>12</c:v>
                </c:pt>
                <c:pt idx="5">
                  <c:v>15</c:v>
                </c:pt>
                <c:pt idx="6">
                  <c:v>18</c:v>
                </c:pt>
                <c:pt idx="7">
                  <c:v>21</c:v>
                </c:pt>
                <c:pt idx="8">
                  <c:v>24</c:v>
                </c:pt>
                <c:pt idx="9">
                  <c:v>27</c:v>
                </c:pt>
                <c:pt idx="10">
                  <c:v>30</c:v>
                </c:pt>
                <c:pt idx="11">
                  <c:v>33</c:v>
                </c:pt>
                <c:pt idx="12">
                  <c:v>36</c:v>
                </c:pt>
                <c:pt idx="13">
                  <c:v>39</c:v>
                </c:pt>
                <c:pt idx="14">
                  <c:v>42</c:v>
                </c:pt>
                <c:pt idx="15">
                  <c:v>45</c:v>
                </c:pt>
                <c:pt idx="16">
                  <c:v>48</c:v>
                </c:pt>
                <c:pt idx="17">
                  <c:v>51</c:v>
                </c:pt>
                <c:pt idx="18">
                  <c:v>54</c:v>
                </c:pt>
                <c:pt idx="19">
                  <c:v>57</c:v>
                </c:pt>
                <c:pt idx="20">
                  <c:v>60</c:v>
                </c:pt>
                <c:pt idx="21">
                  <c:v>63</c:v>
                </c:pt>
                <c:pt idx="22">
                  <c:v>66</c:v>
                </c:pt>
                <c:pt idx="23">
                  <c:v>69</c:v>
                </c:pt>
                <c:pt idx="24">
                  <c:v>72</c:v>
                </c:pt>
                <c:pt idx="25">
                  <c:v>75</c:v>
                </c:pt>
                <c:pt idx="26">
                  <c:v>78</c:v>
                </c:pt>
                <c:pt idx="27">
                  <c:v>81</c:v>
                </c:pt>
                <c:pt idx="28">
                  <c:v>84</c:v>
                </c:pt>
                <c:pt idx="29">
                  <c:v>87</c:v>
                </c:pt>
                <c:pt idx="30">
                  <c:v>90</c:v>
                </c:pt>
                <c:pt idx="31">
                  <c:v>93</c:v>
                </c:pt>
                <c:pt idx="32">
                  <c:v>96</c:v>
                </c:pt>
              </c:numCache>
            </c:numRef>
          </c:cat>
          <c:val>
            <c:numRef>
              <c:f>'Formulas_Dont Delete'!$D$13:$AJ$13</c:f>
              <c:numCache>
                <c:formatCode>0</c:formatCode>
                <c:ptCount val="33"/>
                <c:pt idx="0">
                  <c:v>100</c:v>
                </c:pt>
                <c:pt idx="1">
                  <c:v>55</c:v>
                </c:pt>
                <c:pt idx="2">
                  <c:v>55</c:v>
                </c:pt>
                <c:pt idx="3">
                  <c:v>55</c:v>
                </c:pt>
                <c:pt idx="4">
                  <c:v>55</c:v>
                </c:pt>
                <c:pt idx="5">
                  <c:v>55</c:v>
                </c:pt>
                <c:pt idx="6">
                  <c:v>55</c:v>
                </c:pt>
                <c:pt idx="7">
                  <c:v>55</c:v>
                </c:pt>
                <c:pt idx="8">
                  <c:v>55</c:v>
                </c:pt>
                <c:pt idx="9">
                  <c:v>55</c:v>
                </c:pt>
                <c:pt idx="10">
                  <c:v>55</c:v>
                </c:pt>
                <c:pt idx="11">
                  <c:v>55</c:v>
                </c:pt>
                <c:pt idx="12">
                  <c:v>55</c:v>
                </c:pt>
                <c:pt idx="13">
                  <c:v>55</c:v>
                </c:pt>
                <c:pt idx="14">
                  <c:v>55</c:v>
                </c:pt>
                <c:pt idx="15">
                  <c:v>55</c:v>
                </c:pt>
                <c:pt idx="16">
                  <c:v>55</c:v>
                </c:pt>
                <c:pt idx="17">
                  <c:v>55</c:v>
                </c:pt>
                <c:pt idx="18">
                  <c:v>55</c:v>
                </c:pt>
                <c:pt idx="19">
                  <c:v>55</c:v>
                </c:pt>
                <c:pt idx="20">
                  <c:v>55</c:v>
                </c:pt>
                <c:pt idx="21">
                  <c:v>55</c:v>
                </c:pt>
                <c:pt idx="22">
                  <c:v>55</c:v>
                </c:pt>
                <c:pt idx="23">
                  <c:v>55</c:v>
                </c:pt>
                <c:pt idx="24">
                  <c:v>100</c:v>
                </c:pt>
                <c:pt idx="25">
                  <c:v>100</c:v>
                </c:pt>
                <c:pt idx="26">
                  <c:v>100</c:v>
                </c:pt>
                <c:pt idx="27">
                  <c:v>100</c:v>
                </c:pt>
                <c:pt idx="28">
                  <c:v>100</c:v>
                </c:pt>
                <c:pt idx="29">
                  <c:v>100</c:v>
                </c:pt>
                <c:pt idx="30">
                  <c:v>100</c:v>
                </c:pt>
                <c:pt idx="31">
                  <c:v>100</c:v>
                </c:pt>
                <c:pt idx="32">
                  <c:v>100</c:v>
                </c:pt>
              </c:numCache>
            </c:numRef>
          </c:val>
          <c:smooth val="0"/>
          <c:extLst>
            <c:ext xmlns:c16="http://schemas.microsoft.com/office/drawing/2014/chart" uri="{C3380CC4-5D6E-409C-BE32-E72D297353CC}">
              <c16:uniqueId val="{00000001-AE4C-4B14-9DF7-8B8D95DE2815}"/>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smooth val="0"/>
        <c:axId val="1015443296"/>
        <c:axId val="1015445696"/>
      </c:lineChart>
      <c:catAx>
        <c:axId val="10154432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(Hours)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445696"/>
        <c:crosses val="autoZero"/>
        <c:auto val="1"/>
        <c:lblAlgn val="ctr"/>
        <c:lblOffset val="100"/>
        <c:noMultiLvlLbl val="0"/>
      </c:catAx>
      <c:valAx>
        <c:axId val="101544569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en-US" sz="1000" b="0" i="0" u="none" strike="noStrike" kern="1200" baseline="0">
                    <a:solidFill>
                      <a:sysClr val="windowText" lastClr="000000">
                        <a:lumMod val="65000"/>
                        <a:lumOff val="35000"/>
                      </a:sysClr>
                    </a:solidFill>
                    <a:effectLst/>
                  </a:rPr>
                  <a:t>Percentage of Remaining Operational Capacity</a:t>
                </a:r>
                <a:endParaRPr lang="en-US" sz="1000" b="0" i="0" u="none" strike="noStrike" kern="1200" baseline="0">
                  <a:solidFill>
                    <a:sysClr val="windowText" lastClr="000000">
                      <a:lumMod val="65000"/>
                      <a:lumOff val="35000"/>
                    </a:sysClr>
                  </a:solidFill>
                </a:endParaRPr>
              </a:p>
            </c:rich>
          </c:tx>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443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Wastewater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'Formulas_Dont Delete'!$B$19:$C$19</c:f>
              <c:strCache>
                <c:ptCount val="2"/>
                <c:pt idx="0">
                  <c:v>Without a Backup </c:v>
                </c:pt>
              </c:strCache>
            </c:strRef>
          </c:tx>
          <c:spPr>
            <a:ln w="28575" cap="rnd">
              <a:solidFill>
                <a:srgbClr val="FF0000"/>
              </a:solidFill>
              <a:round/>
            </a:ln>
            <a:effectLst/>
          </c:spPr>
          <c:marker>
            <c:symbol val="none"/>
          </c:marker>
          <c:cat>
            <c:numRef>
              <c:f>'Formulas_Dont Delete'!$D$18:$AJ$18</c:f>
              <c:numCache>
                <c:formatCode>General</c:formatCode>
                <c:ptCount val="33"/>
                <c:pt idx="0">
                  <c:v>0</c:v>
                </c:pt>
                <c:pt idx="1">
                  <c:v>3</c:v>
                </c:pt>
                <c:pt idx="2">
                  <c:v>6</c:v>
                </c:pt>
                <c:pt idx="3">
                  <c:v>9</c:v>
                </c:pt>
                <c:pt idx="4">
                  <c:v>12</c:v>
                </c:pt>
                <c:pt idx="5">
                  <c:v>15</c:v>
                </c:pt>
                <c:pt idx="6">
                  <c:v>18</c:v>
                </c:pt>
                <c:pt idx="7">
                  <c:v>21</c:v>
                </c:pt>
                <c:pt idx="8">
                  <c:v>24</c:v>
                </c:pt>
                <c:pt idx="9">
                  <c:v>27</c:v>
                </c:pt>
                <c:pt idx="10">
                  <c:v>30</c:v>
                </c:pt>
                <c:pt idx="11">
                  <c:v>33</c:v>
                </c:pt>
                <c:pt idx="12">
                  <c:v>36</c:v>
                </c:pt>
                <c:pt idx="13">
                  <c:v>39</c:v>
                </c:pt>
                <c:pt idx="14">
                  <c:v>42</c:v>
                </c:pt>
                <c:pt idx="15">
                  <c:v>45</c:v>
                </c:pt>
                <c:pt idx="16">
                  <c:v>48</c:v>
                </c:pt>
                <c:pt idx="17">
                  <c:v>51</c:v>
                </c:pt>
                <c:pt idx="18">
                  <c:v>54</c:v>
                </c:pt>
                <c:pt idx="19">
                  <c:v>57</c:v>
                </c:pt>
                <c:pt idx="20">
                  <c:v>60</c:v>
                </c:pt>
                <c:pt idx="21">
                  <c:v>63</c:v>
                </c:pt>
                <c:pt idx="22">
                  <c:v>66</c:v>
                </c:pt>
                <c:pt idx="23">
                  <c:v>69</c:v>
                </c:pt>
                <c:pt idx="24">
                  <c:v>72</c:v>
                </c:pt>
                <c:pt idx="25">
                  <c:v>75</c:v>
                </c:pt>
                <c:pt idx="26">
                  <c:v>78</c:v>
                </c:pt>
                <c:pt idx="27">
                  <c:v>81</c:v>
                </c:pt>
                <c:pt idx="28">
                  <c:v>84</c:v>
                </c:pt>
                <c:pt idx="29">
                  <c:v>87</c:v>
                </c:pt>
                <c:pt idx="30">
                  <c:v>90</c:v>
                </c:pt>
                <c:pt idx="31">
                  <c:v>93</c:v>
                </c:pt>
                <c:pt idx="32">
                  <c:v>96</c:v>
                </c:pt>
              </c:numCache>
            </c:numRef>
          </c:cat>
          <c:val>
            <c:numRef>
              <c:f>'Formulas_Dont Delete'!$D$19:$AJ$19</c:f>
              <c:numCache>
                <c:formatCode>0</c:formatCode>
                <c:ptCount val="33"/>
                <c:pt idx="0">
                  <c:v>100</c:v>
                </c:pt>
                <c:pt idx="1">
                  <c:v>67</c:v>
                </c:pt>
                <c:pt idx="2">
                  <c:v>67</c:v>
                </c:pt>
                <c:pt idx="3">
                  <c:v>67</c:v>
                </c:pt>
                <c:pt idx="4">
                  <c:v>67</c:v>
                </c:pt>
                <c:pt idx="5">
                  <c:v>67</c:v>
                </c:pt>
                <c:pt idx="6">
                  <c:v>67</c:v>
                </c:pt>
                <c:pt idx="7">
                  <c:v>67</c:v>
                </c:pt>
                <c:pt idx="8">
                  <c:v>67</c:v>
                </c:pt>
                <c:pt idx="9">
                  <c:v>67</c:v>
                </c:pt>
                <c:pt idx="10">
                  <c:v>67</c:v>
                </c:pt>
                <c:pt idx="11">
                  <c:v>67</c:v>
                </c:pt>
                <c:pt idx="12">
                  <c:v>67</c:v>
                </c:pt>
                <c:pt idx="13">
                  <c:v>67</c:v>
                </c:pt>
                <c:pt idx="14">
                  <c:v>67</c:v>
                </c:pt>
                <c:pt idx="15">
                  <c:v>67</c:v>
                </c:pt>
                <c:pt idx="16">
                  <c:v>67</c:v>
                </c:pt>
                <c:pt idx="17">
                  <c:v>67</c:v>
                </c:pt>
                <c:pt idx="18">
                  <c:v>67</c:v>
                </c:pt>
                <c:pt idx="19">
                  <c:v>67</c:v>
                </c:pt>
                <c:pt idx="20">
                  <c:v>67</c:v>
                </c:pt>
                <c:pt idx="21">
                  <c:v>67</c:v>
                </c:pt>
                <c:pt idx="22">
                  <c:v>67</c:v>
                </c:pt>
                <c:pt idx="23">
                  <c:v>67</c:v>
                </c:pt>
                <c:pt idx="24">
                  <c:v>100</c:v>
                </c:pt>
                <c:pt idx="25">
                  <c:v>100</c:v>
                </c:pt>
                <c:pt idx="26">
                  <c:v>100</c:v>
                </c:pt>
                <c:pt idx="27">
                  <c:v>100</c:v>
                </c:pt>
                <c:pt idx="28">
                  <c:v>100</c:v>
                </c:pt>
                <c:pt idx="29">
                  <c:v>100</c:v>
                </c:pt>
                <c:pt idx="30">
                  <c:v>100</c:v>
                </c:pt>
                <c:pt idx="31">
                  <c:v>100</c:v>
                </c:pt>
                <c:pt idx="32">
                  <c:v>100</c:v>
                </c:pt>
              </c:numCache>
            </c:numRef>
          </c:val>
          <c:smooth val="0"/>
          <c:extLst>
            <c:ext xmlns:c16="http://schemas.microsoft.com/office/drawing/2014/chart" uri="{C3380CC4-5D6E-409C-BE32-E72D297353CC}">
              <c16:uniqueId val="{00000000-1C5E-494C-A1F1-BA880022F604}"/>
            </c:ext>
          </c:extLst>
        </c:ser>
        <c:ser>
          <c:idx val="1"/>
          <c:order val="1"/>
          <c:tx>
            <c:strRef>
              <c:f>'Formulas_Dont Delete'!$B$20:$C$20</c:f>
              <c:strCache>
                <c:ptCount val="2"/>
                <c:pt idx="0">
                  <c:v>With a Backup </c:v>
                </c:pt>
              </c:strCache>
            </c:strRef>
          </c:tx>
          <c:spPr>
            <a:ln w="28575" cap="rnd">
              <a:solidFill>
                <a:srgbClr val="00B050"/>
              </a:solidFill>
              <a:prstDash val="dash"/>
              <a:round/>
            </a:ln>
            <a:effectLst/>
          </c:spPr>
          <c:marker>
            <c:symbol val="none"/>
          </c:marker>
          <c:cat>
            <c:numRef>
              <c:f>'Formulas_Dont Delete'!$D$18:$AJ$18</c:f>
              <c:numCache>
                <c:formatCode>General</c:formatCode>
                <c:ptCount val="33"/>
                <c:pt idx="0">
                  <c:v>0</c:v>
                </c:pt>
                <c:pt idx="1">
                  <c:v>3</c:v>
                </c:pt>
                <c:pt idx="2">
                  <c:v>6</c:v>
                </c:pt>
                <c:pt idx="3">
                  <c:v>9</c:v>
                </c:pt>
                <c:pt idx="4">
                  <c:v>12</c:v>
                </c:pt>
                <c:pt idx="5">
                  <c:v>15</c:v>
                </c:pt>
                <c:pt idx="6">
                  <c:v>18</c:v>
                </c:pt>
                <c:pt idx="7">
                  <c:v>21</c:v>
                </c:pt>
                <c:pt idx="8">
                  <c:v>24</c:v>
                </c:pt>
                <c:pt idx="9">
                  <c:v>27</c:v>
                </c:pt>
                <c:pt idx="10">
                  <c:v>30</c:v>
                </c:pt>
                <c:pt idx="11">
                  <c:v>33</c:v>
                </c:pt>
                <c:pt idx="12">
                  <c:v>36</c:v>
                </c:pt>
                <c:pt idx="13">
                  <c:v>39</c:v>
                </c:pt>
                <c:pt idx="14">
                  <c:v>42</c:v>
                </c:pt>
                <c:pt idx="15">
                  <c:v>45</c:v>
                </c:pt>
                <c:pt idx="16">
                  <c:v>48</c:v>
                </c:pt>
                <c:pt idx="17">
                  <c:v>51</c:v>
                </c:pt>
                <c:pt idx="18">
                  <c:v>54</c:v>
                </c:pt>
                <c:pt idx="19">
                  <c:v>57</c:v>
                </c:pt>
                <c:pt idx="20">
                  <c:v>60</c:v>
                </c:pt>
                <c:pt idx="21">
                  <c:v>63</c:v>
                </c:pt>
                <c:pt idx="22">
                  <c:v>66</c:v>
                </c:pt>
                <c:pt idx="23">
                  <c:v>69</c:v>
                </c:pt>
                <c:pt idx="24">
                  <c:v>72</c:v>
                </c:pt>
                <c:pt idx="25">
                  <c:v>75</c:v>
                </c:pt>
                <c:pt idx="26">
                  <c:v>78</c:v>
                </c:pt>
                <c:pt idx="27">
                  <c:v>81</c:v>
                </c:pt>
                <c:pt idx="28">
                  <c:v>84</c:v>
                </c:pt>
                <c:pt idx="29">
                  <c:v>87</c:v>
                </c:pt>
                <c:pt idx="30">
                  <c:v>90</c:v>
                </c:pt>
                <c:pt idx="31">
                  <c:v>93</c:v>
                </c:pt>
                <c:pt idx="32">
                  <c:v>96</c:v>
                </c:pt>
              </c:numCache>
            </c:numRef>
          </c:cat>
          <c:val>
            <c:numRef>
              <c:f>'Formulas_Dont Delete'!$D$20:$AJ$20</c:f>
              <c:numCache>
                <c:formatCode>0</c:formatCode>
                <c:ptCount val="33"/>
                <c:pt idx="0">
                  <c:v>100</c:v>
                </c:pt>
                <c:pt idx="1">
                  <c:v>67</c:v>
                </c:pt>
                <c:pt idx="2">
                  <c:v>67</c:v>
                </c:pt>
                <c:pt idx="3">
                  <c:v>67</c:v>
                </c:pt>
                <c:pt idx="4">
                  <c:v>67</c:v>
                </c:pt>
                <c:pt idx="5">
                  <c:v>67</c:v>
                </c:pt>
                <c:pt idx="6">
                  <c:v>67</c:v>
                </c:pt>
                <c:pt idx="7">
                  <c:v>67</c:v>
                </c:pt>
                <c:pt idx="8">
                  <c:v>67</c:v>
                </c:pt>
                <c:pt idx="9">
                  <c:v>67</c:v>
                </c:pt>
                <c:pt idx="10">
                  <c:v>67</c:v>
                </c:pt>
                <c:pt idx="11">
                  <c:v>67</c:v>
                </c:pt>
                <c:pt idx="12">
                  <c:v>67</c:v>
                </c:pt>
                <c:pt idx="13">
                  <c:v>67</c:v>
                </c:pt>
                <c:pt idx="14">
                  <c:v>67</c:v>
                </c:pt>
                <c:pt idx="15">
                  <c:v>67</c:v>
                </c:pt>
                <c:pt idx="16">
                  <c:v>67</c:v>
                </c:pt>
                <c:pt idx="17">
                  <c:v>67</c:v>
                </c:pt>
                <c:pt idx="18">
                  <c:v>67</c:v>
                </c:pt>
                <c:pt idx="19">
                  <c:v>67</c:v>
                </c:pt>
                <c:pt idx="20">
                  <c:v>67</c:v>
                </c:pt>
                <c:pt idx="21">
                  <c:v>67</c:v>
                </c:pt>
                <c:pt idx="22">
                  <c:v>67</c:v>
                </c:pt>
                <c:pt idx="23">
                  <c:v>67</c:v>
                </c:pt>
                <c:pt idx="24">
                  <c:v>100</c:v>
                </c:pt>
                <c:pt idx="25">
                  <c:v>100</c:v>
                </c:pt>
                <c:pt idx="26">
                  <c:v>100</c:v>
                </c:pt>
                <c:pt idx="27">
                  <c:v>100</c:v>
                </c:pt>
                <c:pt idx="28">
                  <c:v>100</c:v>
                </c:pt>
                <c:pt idx="29">
                  <c:v>100</c:v>
                </c:pt>
                <c:pt idx="30">
                  <c:v>100</c:v>
                </c:pt>
                <c:pt idx="31">
                  <c:v>100</c:v>
                </c:pt>
                <c:pt idx="32">
                  <c:v>100</c:v>
                </c:pt>
              </c:numCache>
            </c:numRef>
          </c:val>
          <c:smooth val="0"/>
          <c:extLst>
            <c:ext xmlns:c16="http://schemas.microsoft.com/office/drawing/2014/chart" uri="{C3380CC4-5D6E-409C-BE32-E72D297353CC}">
              <c16:uniqueId val="{00000001-1C5E-494C-A1F1-BA880022F604}"/>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smooth val="0"/>
        <c:axId val="875705567"/>
        <c:axId val="875707487"/>
      </c:lineChart>
      <c:catAx>
        <c:axId val="875705567"/>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5707487"/>
        <c:crosses val="autoZero"/>
        <c:auto val="1"/>
        <c:lblAlgn val="ctr"/>
        <c:lblOffset val="100"/>
        <c:noMultiLvlLbl val="0"/>
      </c:catAx>
      <c:valAx>
        <c:axId val="875707487"/>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en-US"/>
                  <a:t>Axis Tit</a:t>
                </a:r>
                <a:r>
                  <a:rPr lang="en-US" sz="1000" b="0" i="0" u="none" strike="noStrike" kern="1200" baseline="0">
                    <a:solidFill>
                      <a:sysClr val="windowText" lastClr="000000">
                        <a:lumMod val="65000"/>
                        <a:lumOff val="35000"/>
                      </a:sysClr>
                    </a:solidFill>
                    <a:effectLst/>
                  </a:rPr>
                  <a:t>Percentage of Remaining Operational Capacity</a:t>
                </a:r>
                <a:endParaRPr lang="en-US" sz="1000" b="0" i="0" u="none" strike="noStrike" kern="1200" baseline="0">
                  <a:solidFill>
                    <a:sysClr val="windowText" lastClr="000000">
                      <a:lumMod val="65000"/>
                      <a:lumOff val="35000"/>
                    </a:sysClr>
                  </a:solidFill>
                </a:endParaRPr>
              </a:p>
            </c:rich>
          </c:tx>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57055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1.xml"/><Relationship Id="rId7" Type="http://schemas.openxmlformats.org/officeDocument/2006/relationships/chart" Target="../charts/chart5.xml"/><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editAs="oneCell">
    <xdr:from>
      <xdr:col>0</xdr:col>
      <xdr:colOff>217261</xdr:colOff>
      <xdr:row>0</xdr:row>
      <xdr:rowOff>29029</xdr:rowOff>
    </xdr:from>
    <xdr:to>
      <xdr:col>2</xdr:col>
      <xdr:colOff>22163</xdr:colOff>
      <xdr:row>5</xdr:row>
      <xdr:rowOff>85725</xdr:rowOff>
    </xdr:to>
    <xdr:pic>
      <xdr:nvPicPr>
        <xdr:cNvPr id="10" name="Picture 9">
          <a:extLst>
            <a:ext uri="{FF2B5EF4-FFF2-40B4-BE49-F238E27FC236}">
              <a16:creationId xmlns:a16="http://schemas.microsoft.com/office/drawing/2014/main" id="{3617D456-BD0A-49FF-8868-6386E2820EF3}"/>
            </a:ext>
          </a:extLst>
        </xdr:cNvPr>
        <xdr:cNvPicPr>
          <a:picLocks noChangeAspect="1"/>
        </xdr:cNvPicPr>
      </xdr:nvPicPr>
      <xdr:blipFill rotWithShape="1">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foregroundMark x1="50700" y1="35644" x2="47328" y2="46737"/>
                      <a14:foregroundMark x1="45865" y1="45024" x2="40903" y2="52121"/>
                      <a14:foregroundMark x1="40903" y1="52121" x2="41921" y2="64845"/>
                      <a14:foregroundMark x1="41921" y1="64845" x2="45420" y2="68597"/>
                    </a14:backgroundRemoval>
                  </a14:imgEffect>
                </a14:imgLayer>
              </a14:imgProps>
            </a:ext>
            <a:ext uri="{28A0092B-C50C-407E-A947-70E740481C1C}">
              <a14:useLocalDpi xmlns:a14="http://schemas.microsoft.com/office/drawing/2010/main" val="0"/>
            </a:ext>
          </a:extLst>
        </a:blip>
        <a:srcRect l="22202" t="14754" r="21425" b="14383"/>
        <a:stretch/>
      </xdr:blipFill>
      <xdr:spPr>
        <a:xfrm>
          <a:off x="220436" y="25854"/>
          <a:ext cx="1017752" cy="961571"/>
        </a:xfrm>
        <a:prstGeom prst="rect">
          <a:avLst/>
        </a:prstGeom>
      </xdr:spPr>
    </xdr:pic>
    <xdr:clientData/>
  </xdr:twoCellAnchor>
  <xdr:twoCellAnchor>
    <xdr:from>
      <xdr:col>0</xdr:col>
      <xdr:colOff>607761</xdr:colOff>
      <xdr:row>11</xdr:row>
      <xdr:rowOff>12533</xdr:rowOff>
    </xdr:from>
    <xdr:to>
      <xdr:col>18</xdr:col>
      <xdr:colOff>0</xdr:colOff>
      <xdr:row>22</xdr:row>
      <xdr:rowOff>0</xdr:rowOff>
    </xdr:to>
    <xdr:graphicFrame macro="">
      <xdr:nvGraphicFramePr>
        <xdr:cNvPr id="2" name="Chart 1">
          <a:extLst>
            <a:ext uri="{FF2B5EF4-FFF2-40B4-BE49-F238E27FC236}">
              <a16:creationId xmlns:a16="http://schemas.microsoft.com/office/drawing/2014/main" id="{71211EAC-13F3-4B9B-AC3A-36BBC01E60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614111</xdr:colOff>
      <xdr:row>24</xdr:row>
      <xdr:rowOff>1</xdr:rowOff>
    </xdr:from>
    <xdr:to>
      <xdr:col>17</xdr:col>
      <xdr:colOff>614111</xdr:colOff>
      <xdr:row>35</xdr:row>
      <xdr:rowOff>0</xdr:rowOff>
    </xdr:to>
    <xdr:graphicFrame macro="">
      <xdr:nvGraphicFramePr>
        <xdr:cNvPr id="4" name="Chart 3">
          <a:extLst>
            <a:ext uri="{FF2B5EF4-FFF2-40B4-BE49-F238E27FC236}">
              <a16:creationId xmlns:a16="http://schemas.microsoft.com/office/drawing/2014/main" id="{D87D1EED-FBFB-4B54-8D65-F940BDCC58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37</xdr:row>
      <xdr:rowOff>0</xdr:rowOff>
    </xdr:from>
    <xdr:to>
      <xdr:col>17</xdr:col>
      <xdr:colOff>598404</xdr:colOff>
      <xdr:row>48</xdr:row>
      <xdr:rowOff>12533</xdr:rowOff>
    </xdr:to>
    <xdr:graphicFrame macro="">
      <xdr:nvGraphicFramePr>
        <xdr:cNvPr id="5" name="Chart 4">
          <a:extLst>
            <a:ext uri="{FF2B5EF4-FFF2-40B4-BE49-F238E27FC236}">
              <a16:creationId xmlns:a16="http://schemas.microsoft.com/office/drawing/2014/main" id="{B8ED0E09-A833-4916-9105-35B90F3E4D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76</xdr:row>
      <xdr:rowOff>0</xdr:rowOff>
    </xdr:from>
    <xdr:to>
      <xdr:col>18</xdr:col>
      <xdr:colOff>0</xdr:colOff>
      <xdr:row>87</xdr:row>
      <xdr:rowOff>0</xdr:rowOff>
    </xdr:to>
    <xdr:graphicFrame macro="">
      <xdr:nvGraphicFramePr>
        <xdr:cNvPr id="6" name="Chart 5">
          <a:extLst>
            <a:ext uri="{FF2B5EF4-FFF2-40B4-BE49-F238E27FC236}">
              <a16:creationId xmlns:a16="http://schemas.microsoft.com/office/drawing/2014/main" id="{E425EB69-5857-4304-A386-89E9C78D06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571501</xdr:colOff>
      <xdr:row>50</xdr:row>
      <xdr:rowOff>1</xdr:rowOff>
    </xdr:from>
    <xdr:to>
      <xdr:col>17</xdr:col>
      <xdr:colOff>600076</xdr:colOff>
      <xdr:row>60</xdr:row>
      <xdr:rowOff>137585</xdr:rowOff>
    </xdr:to>
    <xdr:graphicFrame macro="">
      <xdr:nvGraphicFramePr>
        <xdr:cNvPr id="7" name="Chart 6">
          <a:extLst>
            <a:ext uri="{FF2B5EF4-FFF2-40B4-BE49-F238E27FC236}">
              <a16:creationId xmlns:a16="http://schemas.microsoft.com/office/drawing/2014/main" id="{82DC47CF-B39D-4CE1-A993-803D647545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1</xdr:colOff>
      <xdr:row>63</xdr:row>
      <xdr:rowOff>21167</xdr:rowOff>
    </xdr:from>
    <xdr:to>
      <xdr:col>17</xdr:col>
      <xdr:colOff>571501</xdr:colOff>
      <xdr:row>74</xdr:row>
      <xdr:rowOff>31750</xdr:rowOff>
    </xdr:to>
    <xdr:graphicFrame macro="">
      <xdr:nvGraphicFramePr>
        <xdr:cNvPr id="8" name="Chart 7">
          <a:extLst>
            <a:ext uri="{FF2B5EF4-FFF2-40B4-BE49-F238E27FC236}">
              <a16:creationId xmlns:a16="http://schemas.microsoft.com/office/drawing/2014/main" id="{20FF3CB4-B2F7-4313-B349-8C51766135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6350</xdr:colOff>
      <xdr:row>12</xdr:row>
      <xdr:rowOff>19050</xdr:rowOff>
    </xdr:from>
    <xdr:to>
      <xdr:col>17</xdr:col>
      <xdr:colOff>580231</xdr:colOff>
      <xdr:row>35</xdr:row>
      <xdr:rowOff>31229</xdr:rowOff>
    </xdr:to>
    <xdr:pic>
      <xdr:nvPicPr>
        <xdr:cNvPr id="2" name="Picture 1">
          <a:extLst>
            <a:ext uri="{FF2B5EF4-FFF2-40B4-BE49-F238E27FC236}">
              <a16:creationId xmlns:a16="http://schemas.microsoft.com/office/drawing/2014/main" id="{462162DB-EA55-B2A3-0F70-56E86C704C08}"/>
            </a:ext>
          </a:extLst>
        </xdr:cNvPr>
        <xdr:cNvPicPr>
          <a:picLocks noChangeAspect="1"/>
        </xdr:cNvPicPr>
      </xdr:nvPicPr>
      <xdr:blipFill>
        <a:blip xmlns:r="http://schemas.openxmlformats.org/officeDocument/2006/relationships" r:embed="rId1"/>
        <a:stretch>
          <a:fillRect/>
        </a:stretch>
      </xdr:blipFill>
      <xdr:spPr>
        <a:xfrm>
          <a:off x="792163" y="2507456"/>
          <a:ext cx="10256837" cy="4116661"/>
        </a:xfrm>
        <a:prstGeom prst="rect">
          <a:avLst/>
        </a:prstGeom>
        <a:ln w="28575">
          <a:solidFill>
            <a:schemeClr val="tx1"/>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xdr:colOff>
      <xdr:row>2</xdr:row>
      <xdr:rowOff>105832</xdr:rowOff>
    </xdr:from>
    <xdr:to>
      <xdr:col>18</xdr:col>
      <xdr:colOff>23812</xdr:colOff>
      <xdr:row>20</xdr:row>
      <xdr:rowOff>7936</xdr:rowOff>
    </xdr:to>
    <xdr:graphicFrame macro="">
      <xdr:nvGraphicFramePr>
        <xdr:cNvPr id="3" name="Chart 2">
          <a:extLst>
            <a:ext uri="{FF2B5EF4-FFF2-40B4-BE49-F238E27FC236}">
              <a16:creationId xmlns:a16="http://schemas.microsoft.com/office/drawing/2014/main" id="{5E0BEDAD-DF3E-45A1-B0E1-22980D7AD6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168275</xdr:colOff>
      <xdr:row>3</xdr:row>
      <xdr:rowOff>0</xdr:rowOff>
    </xdr:from>
    <xdr:to>
      <xdr:col>17</xdr:col>
      <xdr:colOff>590550</xdr:colOff>
      <xdr:row>20</xdr:row>
      <xdr:rowOff>9525</xdr:rowOff>
    </xdr:to>
    <xdr:graphicFrame macro="">
      <xdr:nvGraphicFramePr>
        <xdr:cNvPr id="2" name="Chart 1">
          <a:extLst>
            <a:ext uri="{FF2B5EF4-FFF2-40B4-BE49-F238E27FC236}">
              <a16:creationId xmlns:a16="http://schemas.microsoft.com/office/drawing/2014/main" id="{B3C47E6F-B0D5-42BF-A92D-16341436EF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3</xdr:row>
      <xdr:rowOff>0</xdr:rowOff>
    </xdr:from>
    <xdr:to>
      <xdr:col>17</xdr:col>
      <xdr:colOff>600075</xdr:colOff>
      <xdr:row>20</xdr:row>
      <xdr:rowOff>9525</xdr:rowOff>
    </xdr:to>
    <xdr:graphicFrame macro="">
      <xdr:nvGraphicFramePr>
        <xdr:cNvPr id="2" name="Chart 1">
          <a:extLst>
            <a:ext uri="{FF2B5EF4-FFF2-40B4-BE49-F238E27FC236}">
              <a16:creationId xmlns:a16="http://schemas.microsoft.com/office/drawing/2014/main" id="{C747AA08-1955-43A5-BCAD-3134A50CB6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2</xdr:row>
      <xdr:rowOff>114299</xdr:rowOff>
    </xdr:from>
    <xdr:to>
      <xdr:col>17</xdr:col>
      <xdr:colOff>590550</xdr:colOff>
      <xdr:row>19</xdr:row>
      <xdr:rowOff>171449</xdr:rowOff>
    </xdr:to>
    <xdr:graphicFrame macro="">
      <xdr:nvGraphicFramePr>
        <xdr:cNvPr id="2" name="Chart 1">
          <a:extLst>
            <a:ext uri="{FF2B5EF4-FFF2-40B4-BE49-F238E27FC236}">
              <a16:creationId xmlns:a16="http://schemas.microsoft.com/office/drawing/2014/main" id="{225A8D15-FF19-4A3D-8C6A-5355785A4A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171450</xdr:colOff>
      <xdr:row>3</xdr:row>
      <xdr:rowOff>0</xdr:rowOff>
    </xdr:from>
    <xdr:to>
      <xdr:col>17</xdr:col>
      <xdr:colOff>600075</xdr:colOff>
      <xdr:row>19</xdr:row>
      <xdr:rowOff>171450</xdr:rowOff>
    </xdr:to>
    <xdr:graphicFrame macro="">
      <xdr:nvGraphicFramePr>
        <xdr:cNvPr id="3" name="Chart 2">
          <a:extLst>
            <a:ext uri="{FF2B5EF4-FFF2-40B4-BE49-F238E27FC236}">
              <a16:creationId xmlns:a16="http://schemas.microsoft.com/office/drawing/2014/main" id="{319F27FC-B0CF-4AC1-9D89-BD97C91C53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0</xdr:colOff>
      <xdr:row>3</xdr:row>
      <xdr:rowOff>0</xdr:rowOff>
    </xdr:from>
    <xdr:to>
      <xdr:col>17</xdr:col>
      <xdr:colOff>597478</xdr:colOff>
      <xdr:row>20</xdr:row>
      <xdr:rowOff>0</xdr:rowOff>
    </xdr:to>
    <xdr:graphicFrame macro="">
      <xdr:nvGraphicFramePr>
        <xdr:cNvPr id="2" name="Chart 1">
          <a:extLst>
            <a:ext uri="{FF2B5EF4-FFF2-40B4-BE49-F238E27FC236}">
              <a16:creationId xmlns:a16="http://schemas.microsoft.com/office/drawing/2014/main" id="{8E8B472C-0E6F-42C9-8CC5-D47E9DA4FB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38</xdr:col>
      <xdr:colOff>311150</xdr:colOff>
      <xdr:row>0</xdr:row>
      <xdr:rowOff>190499</xdr:rowOff>
    </xdr:from>
    <xdr:to>
      <xdr:col>38</xdr:col>
      <xdr:colOff>383323</xdr:colOff>
      <xdr:row>41</xdr:row>
      <xdr:rowOff>46464</xdr:rowOff>
    </xdr:to>
    <xdr:cxnSp macro="">
      <xdr:nvCxnSpPr>
        <xdr:cNvPr id="5" name="Straight Arrow Connector 4">
          <a:extLst>
            <a:ext uri="{FF2B5EF4-FFF2-40B4-BE49-F238E27FC236}">
              <a16:creationId xmlns:a16="http://schemas.microsoft.com/office/drawing/2014/main" id="{D1B4077E-D8AA-FC5E-8969-2317A3D09007}"/>
            </a:ext>
          </a:extLst>
        </xdr:cNvPr>
        <xdr:cNvCxnSpPr/>
      </xdr:nvCxnSpPr>
      <xdr:spPr>
        <a:xfrm>
          <a:off x="13983010" y="190499"/>
          <a:ext cx="72173" cy="8788556"/>
        </a:xfrm>
        <a:prstGeom prst="straightConnector1">
          <a:avLst/>
        </a:prstGeom>
        <a:ln w="762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316571</xdr:colOff>
      <xdr:row>1</xdr:row>
      <xdr:rowOff>7820</xdr:rowOff>
    </xdr:from>
    <xdr:to>
      <xdr:col>52</xdr:col>
      <xdr:colOff>348476</xdr:colOff>
      <xdr:row>41</xdr:row>
      <xdr:rowOff>0</xdr:rowOff>
    </xdr:to>
    <xdr:cxnSp macro="">
      <xdr:nvCxnSpPr>
        <xdr:cNvPr id="7" name="Straight Arrow Connector 6">
          <a:extLst>
            <a:ext uri="{FF2B5EF4-FFF2-40B4-BE49-F238E27FC236}">
              <a16:creationId xmlns:a16="http://schemas.microsoft.com/office/drawing/2014/main" id="{094F0470-3A9A-4FBA-B276-E68467008782}"/>
            </a:ext>
          </a:extLst>
        </xdr:cNvPr>
        <xdr:cNvCxnSpPr/>
      </xdr:nvCxnSpPr>
      <xdr:spPr>
        <a:xfrm>
          <a:off x="22444772" y="205290"/>
          <a:ext cx="31905" cy="8727301"/>
        </a:xfrm>
        <a:prstGeom prst="straightConnector1">
          <a:avLst/>
        </a:prstGeom>
        <a:ln w="762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mailto:zachary.williams@cisa.dhs.gov"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BADED-3513-4E80-B2B7-F0610F46EFB3}">
  <sheetPr codeName="Sheet1"/>
  <dimension ref="A1:T101"/>
  <sheetViews>
    <sheetView topLeftCell="A9" zoomScale="90" zoomScaleNormal="90" workbookViewId="0">
      <selection activeCell="S9" sqref="S9"/>
    </sheetView>
  </sheetViews>
  <sheetFormatPr defaultColWidth="0" defaultRowHeight="14.5" zeroHeight="1" x14ac:dyDescent="0.35"/>
  <cols>
    <col min="1" max="19" width="8.7265625" customWidth="1"/>
    <col min="20" max="20" width="0" hidden="1" customWidth="1"/>
    <col min="21" max="16384" width="8.7265625" hidden="1"/>
  </cols>
  <sheetData>
    <row r="1" spans="1:20" s="6" customFormat="1" x14ac:dyDescent="0.35"/>
    <row r="2" spans="1:20" s="6" customFormat="1" ht="14.5" customHeight="1" x14ac:dyDescent="0.35">
      <c r="D2" s="45" t="s">
        <v>27</v>
      </c>
      <c r="E2" s="45"/>
      <c r="F2" s="45"/>
      <c r="G2" s="45"/>
      <c r="H2" s="45"/>
      <c r="I2" s="45"/>
      <c r="J2" s="45"/>
      <c r="K2" s="45"/>
      <c r="L2" s="45"/>
      <c r="M2" s="45"/>
      <c r="N2" s="45"/>
      <c r="O2" s="45"/>
      <c r="P2" s="45"/>
      <c r="R2" s="8"/>
    </row>
    <row r="3" spans="1:20" ht="14.5" customHeight="1" x14ac:dyDescent="0.35">
      <c r="A3" s="6"/>
      <c r="B3" s="6"/>
      <c r="C3" s="6"/>
      <c r="D3" s="45"/>
      <c r="E3" s="45"/>
      <c r="F3" s="45"/>
      <c r="G3" s="45"/>
      <c r="H3" s="45"/>
      <c r="I3" s="45"/>
      <c r="J3" s="45"/>
      <c r="K3" s="45"/>
      <c r="L3" s="45"/>
      <c r="M3" s="45"/>
      <c r="N3" s="45"/>
      <c r="O3" s="45"/>
      <c r="P3" s="45"/>
      <c r="Q3" s="6"/>
      <c r="R3" s="8"/>
      <c r="S3" s="6"/>
      <c r="T3" s="6"/>
    </row>
    <row r="4" spans="1:20" ht="14.5" customHeight="1" x14ac:dyDescent="0.35">
      <c r="A4" s="6"/>
      <c r="B4" s="6"/>
      <c r="C4" s="6"/>
      <c r="D4" s="45"/>
      <c r="E4" s="45"/>
      <c r="F4" s="45"/>
      <c r="G4" s="45"/>
      <c r="H4" s="45"/>
      <c r="I4" s="45"/>
      <c r="J4" s="45"/>
      <c r="K4" s="45"/>
      <c r="L4" s="45"/>
      <c r="M4" s="45"/>
      <c r="N4" s="45"/>
      <c r="O4" s="45"/>
      <c r="P4" s="45"/>
      <c r="Q4" s="6"/>
      <c r="R4" s="8"/>
      <c r="S4" s="6"/>
      <c r="T4" s="16"/>
    </row>
    <row r="5" spans="1:20" ht="14.5" customHeight="1" x14ac:dyDescent="0.35">
      <c r="A5" s="6"/>
      <c r="B5" s="6"/>
      <c r="C5" s="8"/>
      <c r="D5" s="8"/>
      <c r="E5" s="8"/>
      <c r="F5" s="8"/>
      <c r="G5" s="8"/>
      <c r="H5" s="8"/>
      <c r="I5" s="8"/>
      <c r="J5" s="8"/>
      <c r="K5" s="8"/>
      <c r="L5" s="8"/>
      <c r="M5" s="8"/>
      <c r="N5" s="8"/>
      <c r="O5" s="6"/>
      <c r="P5" s="8"/>
      <c r="Q5" s="6"/>
      <c r="R5" s="8"/>
      <c r="S5" s="6"/>
      <c r="T5" s="16"/>
    </row>
    <row r="6" spans="1:20" ht="14.5" customHeight="1" x14ac:dyDescent="0.35">
      <c r="A6" s="6"/>
      <c r="B6" s="6"/>
      <c r="C6" s="6"/>
      <c r="D6" s="8"/>
      <c r="E6" s="8"/>
      <c r="F6" s="8"/>
      <c r="G6" s="8"/>
      <c r="H6" s="8"/>
      <c r="I6" s="8"/>
      <c r="J6" s="8"/>
      <c r="K6" s="8"/>
      <c r="L6" s="8"/>
      <c r="M6" s="8"/>
      <c r="N6" s="8"/>
      <c r="O6" s="8"/>
      <c r="P6" s="8"/>
      <c r="Q6" s="8"/>
      <c r="R6" s="8"/>
      <c r="S6" s="8"/>
      <c r="T6" s="16"/>
    </row>
    <row r="7" spans="1:20" ht="15.5" customHeight="1" x14ac:dyDescent="0.35">
      <c r="A7" s="97" t="s">
        <v>78</v>
      </c>
      <c r="B7" s="98"/>
      <c r="C7" s="98"/>
      <c r="D7" s="98"/>
      <c r="E7" s="98"/>
      <c r="F7" s="8"/>
      <c r="G7" s="8"/>
      <c r="H7" s="8"/>
      <c r="I7" s="8"/>
      <c r="J7" s="8"/>
      <c r="K7" s="8"/>
      <c r="L7" s="8"/>
      <c r="M7" s="8"/>
      <c r="N7" s="8"/>
      <c r="O7" s="8"/>
      <c r="P7" s="8"/>
      <c r="Q7" s="8"/>
      <c r="R7" s="8"/>
      <c r="S7" s="6"/>
      <c r="T7" s="16"/>
    </row>
    <row r="8" spans="1:20" x14ac:dyDescent="0.35">
      <c r="A8" s="98"/>
      <c r="B8" s="98"/>
      <c r="C8" s="98"/>
      <c r="D8" s="98"/>
      <c r="E8" s="98"/>
      <c r="F8" s="6"/>
      <c r="G8" s="6"/>
      <c r="H8" s="6"/>
      <c r="I8" s="6"/>
      <c r="J8" s="6"/>
      <c r="K8" s="6"/>
      <c r="L8" s="6"/>
      <c r="M8" s="6"/>
      <c r="N8" s="6"/>
      <c r="O8" s="6"/>
      <c r="P8" s="6"/>
      <c r="Q8" s="6"/>
      <c r="R8" s="6"/>
      <c r="S8" s="6"/>
      <c r="T8" s="6"/>
    </row>
    <row r="9" spans="1:20" x14ac:dyDescent="0.35">
      <c r="A9" s="98"/>
      <c r="B9" s="98"/>
      <c r="C9" s="98"/>
      <c r="D9" s="98"/>
      <c r="E9" s="98"/>
      <c r="F9" s="6"/>
      <c r="G9" s="6"/>
      <c r="H9" s="6"/>
      <c r="I9" s="6"/>
      <c r="J9" s="6"/>
      <c r="K9" s="6"/>
      <c r="L9" s="6"/>
      <c r="M9" s="6"/>
      <c r="N9" s="6"/>
      <c r="O9" s="6"/>
      <c r="P9" s="6"/>
      <c r="Q9" s="6"/>
      <c r="R9" s="6"/>
      <c r="S9" s="6"/>
      <c r="T9" s="6"/>
    </row>
    <row r="10" spans="1:20" ht="15" thickBot="1" x14ac:dyDescent="0.4">
      <c r="A10" s="8"/>
      <c r="B10" s="8"/>
      <c r="C10" s="6"/>
      <c r="D10" s="6"/>
      <c r="E10" s="6"/>
      <c r="F10" s="6"/>
      <c r="G10" s="6"/>
      <c r="H10" s="6"/>
      <c r="I10" s="6"/>
      <c r="J10" s="6"/>
      <c r="K10" s="6"/>
      <c r="L10" s="6"/>
      <c r="M10" s="6"/>
      <c r="N10" s="6"/>
      <c r="O10" s="6"/>
      <c r="P10" s="6"/>
      <c r="Q10" s="6"/>
      <c r="R10" s="6"/>
      <c r="S10" s="6"/>
      <c r="T10" s="6"/>
    </row>
    <row r="11" spans="1:20" ht="15" thickBot="1" x14ac:dyDescent="0.4">
      <c r="A11" s="8"/>
      <c r="B11" s="42" t="s">
        <v>77</v>
      </c>
      <c r="C11" s="43"/>
      <c r="D11" s="44"/>
      <c r="E11" s="6"/>
      <c r="F11" s="6"/>
      <c r="G11" s="6"/>
      <c r="H11" s="6"/>
      <c r="I11" s="6"/>
      <c r="J11" s="6"/>
      <c r="K11" s="6"/>
      <c r="L11" s="6"/>
      <c r="M11" s="6"/>
      <c r="N11" s="6"/>
      <c r="O11" s="6"/>
      <c r="P11" s="6"/>
      <c r="Q11" s="6"/>
      <c r="R11" s="6"/>
      <c r="S11" s="6"/>
      <c r="T11" s="6"/>
    </row>
    <row r="12" spans="1:20" x14ac:dyDescent="0.35">
      <c r="A12" s="15"/>
      <c r="B12" s="41"/>
      <c r="C12" s="41"/>
      <c r="D12" s="41"/>
      <c r="E12" s="41"/>
      <c r="F12" s="41"/>
      <c r="G12" s="41"/>
      <c r="H12" s="41"/>
      <c r="I12" s="41"/>
      <c r="J12" s="41"/>
      <c r="K12" s="41"/>
      <c r="L12" s="41"/>
      <c r="M12" s="41"/>
      <c r="N12" s="41"/>
      <c r="O12" s="41"/>
      <c r="P12" s="41"/>
      <c r="Q12" s="41"/>
      <c r="R12" s="41"/>
      <c r="S12" s="6"/>
      <c r="T12" s="6"/>
    </row>
    <row r="13" spans="1:20" x14ac:dyDescent="0.35">
      <c r="A13" s="15"/>
      <c r="B13" s="41"/>
      <c r="C13" s="41"/>
      <c r="D13" s="41"/>
      <c r="E13" s="41"/>
      <c r="F13" s="41"/>
      <c r="G13" s="41"/>
      <c r="H13" s="41"/>
      <c r="I13" s="41"/>
      <c r="J13" s="41"/>
      <c r="K13" s="41"/>
      <c r="L13" s="41"/>
      <c r="M13" s="41"/>
      <c r="N13" s="41"/>
      <c r="O13" s="41"/>
      <c r="P13" s="41"/>
      <c r="Q13" s="41"/>
      <c r="R13" s="41"/>
      <c r="S13" s="6"/>
      <c r="T13" s="6"/>
    </row>
    <row r="14" spans="1:20" x14ac:dyDescent="0.35">
      <c r="A14" s="15"/>
      <c r="B14" s="41"/>
      <c r="C14" s="41"/>
      <c r="D14" s="41"/>
      <c r="E14" s="41"/>
      <c r="F14" s="41"/>
      <c r="G14" s="41"/>
      <c r="H14" s="41"/>
      <c r="I14" s="41"/>
      <c r="J14" s="41"/>
      <c r="K14" s="41"/>
      <c r="L14" s="41"/>
      <c r="M14" s="41"/>
      <c r="N14" s="41"/>
      <c r="O14" s="41"/>
      <c r="P14" s="41"/>
      <c r="Q14" s="41"/>
      <c r="R14" s="41"/>
      <c r="S14" s="6"/>
      <c r="T14" s="6"/>
    </row>
    <row r="15" spans="1:20" x14ac:dyDescent="0.35">
      <c r="A15" s="6"/>
      <c r="B15" s="41"/>
      <c r="C15" s="41"/>
      <c r="D15" s="41"/>
      <c r="E15" s="41"/>
      <c r="F15" s="41"/>
      <c r="G15" s="41"/>
      <c r="H15" s="41"/>
      <c r="I15" s="41"/>
      <c r="J15" s="41"/>
      <c r="K15" s="41"/>
      <c r="L15" s="41"/>
      <c r="M15" s="41"/>
      <c r="N15" s="41"/>
      <c r="O15" s="41"/>
      <c r="P15" s="41"/>
      <c r="Q15" s="41"/>
      <c r="R15" s="41"/>
      <c r="S15" s="6"/>
      <c r="T15" s="6"/>
    </row>
    <row r="16" spans="1:20" x14ac:dyDescent="0.35">
      <c r="A16" s="6"/>
      <c r="B16" s="41"/>
      <c r="C16" s="41"/>
      <c r="D16" s="41"/>
      <c r="E16" s="41"/>
      <c r="F16" s="41"/>
      <c r="G16" s="41"/>
      <c r="H16" s="41"/>
      <c r="I16" s="41"/>
      <c r="J16" s="41"/>
      <c r="K16" s="41"/>
      <c r="L16" s="41"/>
      <c r="M16" s="41"/>
      <c r="N16" s="41"/>
      <c r="O16" s="41"/>
      <c r="P16" s="41"/>
      <c r="Q16" s="41"/>
      <c r="R16" s="41"/>
      <c r="S16" s="6"/>
      <c r="T16" s="6"/>
    </row>
    <row r="17" spans="1:20" x14ac:dyDescent="0.35">
      <c r="A17" s="6"/>
      <c r="B17" s="41"/>
      <c r="C17" s="41"/>
      <c r="D17" s="41"/>
      <c r="E17" s="41"/>
      <c r="F17" s="41"/>
      <c r="G17" s="41"/>
      <c r="H17" s="41"/>
      <c r="I17" s="41"/>
      <c r="J17" s="41"/>
      <c r="K17" s="41"/>
      <c r="L17" s="41"/>
      <c r="M17" s="41"/>
      <c r="N17" s="41"/>
      <c r="O17" s="41"/>
      <c r="P17" s="41"/>
      <c r="Q17" s="41"/>
      <c r="R17" s="41"/>
      <c r="S17" s="6"/>
      <c r="T17" s="6"/>
    </row>
    <row r="18" spans="1:20" x14ac:dyDescent="0.35">
      <c r="A18" s="6"/>
      <c r="B18" s="41"/>
      <c r="C18" s="41"/>
      <c r="D18" s="41"/>
      <c r="E18" s="41"/>
      <c r="F18" s="41"/>
      <c r="G18" s="41"/>
      <c r="H18" s="41"/>
      <c r="I18" s="41"/>
      <c r="J18" s="41"/>
      <c r="K18" s="41"/>
      <c r="L18" s="41"/>
      <c r="M18" s="41"/>
      <c r="N18" s="41"/>
      <c r="O18" s="41"/>
      <c r="P18" s="41"/>
      <c r="Q18" s="41"/>
      <c r="R18" s="41"/>
      <c r="S18" s="6"/>
      <c r="T18" s="6"/>
    </row>
    <row r="19" spans="1:20" x14ac:dyDescent="0.35">
      <c r="A19" s="6"/>
      <c r="B19" s="41"/>
      <c r="C19" s="41"/>
      <c r="D19" s="41"/>
      <c r="E19" s="41"/>
      <c r="F19" s="41"/>
      <c r="G19" s="41"/>
      <c r="H19" s="41"/>
      <c r="I19" s="41"/>
      <c r="J19" s="41"/>
      <c r="K19" s="41"/>
      <c r="L19" s="41"/>
      <c r="M19" s="41"/>
      <c r="N19" s="41"/>
      <c r="O19" s="41"/>
      <c r="P19" s="41"/>
      <c r="Q19" s="41"/>
      <c r="R19" s="41"/>
      <c r="S19" s="6"/>
      <c r="T19" s="6"/>
    </row>
    <row r="20" spans="1:20" x14ac:dyDescent="0.35">
      <c r="A20" s="6"/>
      <c r="B20" s="41"/>
      <c r="C20" s="41"/>
      <c r="D20" s="41"/>
      <c r="E20" s="41"/>
      <c r="F20" s="41"/>
      <c r="G20" s="41"/>
      <c r="H20" s="41"/>
      <c r="I20" s="41"/>
      <c r="J20" s="41"/>
      <c r="K20" s="41"/>
      <c r="L20" s="41"/>
      <c r="M20" s="41"/>
      <c r="N20" s="41"/>
      <c r="O20" s="41"/>
      <c r="P20" s="41"/>
      <c r="Q20" s="41"/>
      <c r="R20" s="41"/>
      <c r="S20" s="6"/>
      <c r="T20" s="6"/>
    </row>
    <row r="21" spans="1:20" x14ac:dyDescent="0.35">
      <c r="A21" s="6"/>
      <c r="B21" s="41"/>
      <c r="C21" s="41"/>
      <c r="D21" s="41"/>
      <c r="E21" s="41"/>
      <c r="F21" s="41"/>
      <c r="G21" s="41"/>
      <c r="H21" s="41"/>
      <c r="I21" s="41"/>
      <c r="J21" s="41"/>
      <c r="K21" s="41"/>
      <c r="L21" s="41"/>
      <c r="M21" s="41"/>
      <c r="N21" s="41"/>
      <c r="O21" s="41"/>
      <c r="P21" s="41"/>
      <c r="Q21" s="41"/>
      <c r="R21" s="41"/>
      <c r="S21" s="6"/>
      <c r="T21" s="6"/>
    </row>
    <row r="22" spans="1:20" x14ac:dyDescent="0.35">
      <c r="A22" s="6"/>
      <c r="B22" s="41"/>
      <c r="C22" s="41"/>
      <c r="D22" s="41"/>
      <c r="E22" s="41"/>
      <c r="F22" s="41"/>
      <c r="G22" s="41"/>
      <c r="H22" s="41"/>
      <c r="I22" s="41"/>
      <c r="J22" s="41"/>
      <c r="K22" s="41"/>
      <c r="L22" s="41"/>
      <c r="M22" s="41"/>
      <c r="N22" s="41"/>
      <c r="O22" s="41"/>
      <c r="P22" s="41"/>
      <c r="Q22" s="41"/>
      <c r="R22" s="41"/>
      <c r="S22" s="6"/>
      <c r="T22" s="6"/>
    </row>
    <row r="23" spans="1:20" ht="15" thickBot="1" x14ac:dyDescent="0.4">
      <c r="A23" s="6"/>
      <c r="B23" s="6"/>
      <c r="C23" s="6"/>
      <c r="D23" s="6"/>
      <c r="E23" s="6"/>
      <c r="F23" s="6"/>
      <c r="G23" s="6"/>
      <c r="H23" s="6"/>
      <c r="I23" s="6"/>
      <c r="J23" s="6"/>
      <c r="K23" s="6"/>
      <c r="L23" s="6"/>
      <c r="M23" s="6"/>
      <c r="N23" s="6"/>
      <c r="O23" s="6"/>
      <c r="P23" s="6"/>
      <c r="Q23" s="6"/>
      <c r="R23" s="6"/>
      <c r="S23" s="6"/>
      <c r="T23" s="6"/>
    </row>
    <row r="24" spans="1:20" ht="15" thickBot="1" x14ac:dyDescent="0.4">
      <c r="A24" s="6"/>
      <c r="B24" s="42" t="s">
        <v>25</v>
      </c>
      <c r="C24" s="43"/>
      <c r="D24" s="44"/>
      <c r="E24" s="6"/>
      <c r="F24" s="6"/>
      <c r="G24" s="6"/>
      <c r="H24" s="6"/>
      <c r="I24" s="6"/>
      <c r="J24" s="6"/>
      <c r="K24" s="6"/>
      <c r="L24" s="6"/>
      <c r="M24" s="6"/>
      <c r="N24" s="6"/>
      <c r="O24" s="6"/>
      <c r="P24" s="6"/>
      <c r="Q24" s="6"/>
      <c r="R24" s="6"/>
      <c r="S24" s="6"/>
      <c r="T24" s="6"/>
    </row>
    <row r="25" spans="1:20" x14ac:dyDescent="0.35">
      <c r="A25" s="15"/>
      <c r="B25" s="41"/>
      <c r="C25" s="41"/>
      <c r="D25" s="41"/>
      <c r="E25" s="41"/>
      <c r="F25" s="41"/>
      <c r="G25" s="41"/>
      <c r="H25" s="41"/>
      <c r="I25" s="41"/>
      <c r="J25" s="41"/>
      <c r="K25" s="41"/>
      <c r="L25" s="41"/>
      <c r="M25" s="41"/>
      <c r="N25" s="41"/>
      <c r="O25" s="41"/>
      <c r="P25" s="41"/>
      <c r="Q25" s="41"/>
      <c r="R25" s="41"/>
      <c r="S25" s="6"/>
      <c r="T25" s="6"/>
    </row>
    <row r="26" spans="1:20" x14ac:dyDescent="0.35">
      <c r="A26" s="6"/>
      <c r="B26" s="41"/>
      <c r="C26" s="41"/>
      <c r="D26" s="41"/>
      <c r="E26" s="41"/>
      <c r="F26" s="41"/>
      <c r="G26" s="41"/>
      <c r="H26" s="41"/>
      <c r="I26" s="41"/>
      <c r="J26" s="41"/>
      <c r="K26" s="41"/>
      <c r="L26" s="41"/>
      <c r="M26" s="41"/>
      <c r="N26" s="41"/>
      <c r="O26" s="41"/>
      <c r="P26" s="41"/>
      <c r="Q26" s="41"/>
      <c r="R26" s="41"/>
      <c r="S26" s="6"/>
      <c r="T26" s="6"/>
    </row>
    <row r="27" spans="1:20" x14ac:dyDescent="0.35">
      <c r="A27" s="6"/>
      <c r="B27" s="41"/>
      <c r="C27" s="41"/>
      <c r="D27" s="41"/>
      <c r="E27" s="41"/>
      <c r="F27" s="41"/>
      <c r="G27" s="41"/>
      <c r="H27" s="41"/>
      <c r="I27" s="41"/>
      <c r="J27" s="41"/>
      <c r="K27" s="41"/>
      <c r="L27" s="41"/>
      <c r="M27" s="41"/>
      <c r="N27" s="41"/>
      <c r="O27" s="41"/>
      <c r="P27" s="41"/>
      <c r="Q27" s="41"/>
      <c r="R27" s="41"/>
      <c r="S27" s="6"/>
      <c r="T27" s="6"/>
    </row>
    <row r="28" spans="1:20" x14ac:dyDescent="0.35">
      <c r="A28" s="6"/>
      <c r="B28" s="41"/>
      <c r="C28" s="41"/>
      <c r="D28" s="41"/>
      <c r="E28" s="41"/>
      <c r="F28" s="41"/>
      <c r="G28" s="41"/>
      <c r="H28" s="41"/>
      <c r="I28" s="41"/>
      <c r="J28" s="41"/>
      <c r="K28" s="41"/>
      <c r="L28" s="41"/>
      <c r="M28" s="41"/>
      <c r="N28" s="41"/>
      <c r="O28" s="41"/>
      <c r="P28" s="41"/>
      <c r="Q28" s="41"/>
      <c r="R28" s="41"/>
      <c r="S28" s="6"/>
      <c r="T28" s="6"/>
    </row>
    <row r="29" spans="1:20" x14ac:dyDescent="0.35">
      <c r="A29" s="6"/>
      <c r="B29" s="41"/>
      <c r="C29" s="41"/>
      <c r="D29" s="41"/>
      <c r="E29" s="41"/>
      <c r="F29" s="41"/>
      <c r="G29" s="41"/>
      <c r="H29" s="41"/>
      <c r="I29" s="41"/>
      <c r="J29" s="41"/>
      <c r="K29" s="41"/>
      <c r="L29" s="41"/>
      <c r="M29" s="41"/>
      <c r="N29" s="41"/>
      <c r="O29" s="41"/>
      <c r="P29" s="41"/>
      <c r="Q29" s="41"/>
      <c r="R29" s="41"/>
      <c r="S29" s="6"/>
      <c r="T29" s="6"/>
    </row>
    <row r="30" spans="1:20" x14ac:dyDescent="0.35">
      <c r="A30" s="6"/>
      <c r="B30" s="41"/>
      <c r="C30" s="41"/>
      <c r="D30" s="41"/>
      <c r="E30" s="41"/>
      <c r="F30" s="41"/>
      <c r="G30" s="41"/>
      <c r="H30" s="41"/>
      <c r="I30" s="41"/>
      <c r="J30" s="41"/>
      <c r="K30" s="41"/>
      <c r="L30" s="41"/>
      <c r="M30" s="41"/>
      <c r="N30" s="41"/>
      <c r="O30" s="41"/>
      <c r="P30" s="41"/>
      <c r="Q30" s="41"/>
      <c r="R30" s="41"/>
      <c r="S30" s="6"/>
      <c r="T30" s="6"/>
    </row>
    <row r="31" spans="1:20" x14ac:dyDescent="0.35">
      <c r="A31" s="6"/>
      <c r="B31" s="41"/>
      <c r="C31" s="41"/>
      <c r="D31" s="41"/>
      <c r="E31" s="41"/>
      <c r="F31" s="41"/>
      <c r="G31" s="41"/>
      <c r="H31" s="41"/>
      <c r="I31" s="41"/>
      <c r="J31" s="41"/>
      <c r="K31" s="41"/>
      <c r="L31" s="41"/>
      <c r="M31" s="41"/>
      <c r="N31" s="41"/>
      <c r="O31" s="41"/>
      <c r="P31" s="41"/>
      <c r="Q31" s="41"/>
      <c r="R31" s="41"/>
      <c r="S31" s="6"/>
      <c r="T31" s="6"/>
    </row>
    <row r="32" spans="1:20" x14ac:dyDescent="0.35">
      <c r="A32" s="6"/>
      <c r="B32" s="41"/>
      <c r="C32" s="41"/>
      <c r="D32" s="41"/>
      <c r="E32" s="41"/>
      <c r="F32" s="41"/>
      <c r="G32" s="41"/>
      <c r="H32" s="41"/>
      <c r="I32" s="41"/>
      <c r="J32" s="41"/>
      <c r="K32" s="41"/>
      <c r="L32" s="41"/>
      <c r="M32" s="41"/>
      <c r="N32" s="41"/>
      <c r="O32" s="41"/>
      <c r="P32" s="41"/>
      <c r="Q32" s="41"/>
      <c r="R32" s="41"/>
      <c r="S32" s="6"/>
      <c r="T32" s="6"/>
    </row>
    <row r="33" spans="1:20" x14ac:dyDescent="0.35">
      <c r="A33" s="6"/>
      <c r="B33" s="41"/>
      <c r="C33" s="41"/>
      <c r="D33" s="41"/>
      <c r="E33" s="41"/>
      <c r="F33" s="41"/>
      <c r="G33" s="41"/>
      <c r="H33" s="41"/>
      <c r="I33" s="41"/>
      <c r="J33" s="41"/>
      <c r="K33" s="41"/>
      <c r="L33" s="41"/>
      <c r="M33" s="41"/>
      <c r="N33" s="41"/>
      <c r="O33" s="41"/>
      <c r="P33" s="41"/>
      <c r="Q33" s="41"/>
      <c r="R33" s="41"/>
      <c r="S33" s="6"/>
      <c r="T33" s="6"/>
    </row>
    <row r="34" spans="1:20" x14ac:dyDescent="0.35">
      <c r="A34" s="6"/>
      <c r="B34" s="41"/>
      <c r="C34" s="41"/>
      <c r="D34" s="41"/>
      <c r="E34" s="41"/>
      <c r="F34" s="41"/>
      <c r="G34" s="41"/>
      <c r="H34" s="41"/>
      <c r="I34" s="41"/>
      <c r="J34" s="41"/>
      <c r="K34" s="41"/>
      <c r="L34" s="41"/>
      <c r="M34" s="41"/>
      <c r="N34" s="41"/>
      <c r="O34" s="41"/>
      <c r="P34" s="41"/>
      <c r="Q34" s="41"/>
      <c r="R34" s="41"/>
      <c r="S34" s="6"/>
      <c r="T34" s="6"/>
    </row>
    <row r="35" spans="1:20" x14ac:dyDescent="0.35">
      <c r="A35" s="6"/>
      <c r="B35" s="41"/>
      <c r="C35" s="41"/>
      <c r="D35" s="41"/>
      <c r="E35" s="41"/>
      <c r="F35" s="41"/>
      <c r="G35" s="41"/>
      <c r="H35" s="41"/>
      <c r="I35" s="41"/>
      <c r="J35" s="41"/>
      <c r="K35" s="41"/>
      <c r="L35" s="41"/>
      <c r="M35" s="41"/>
      <c r="N35" s="41"/>
      <c r="O35" s="41"/>
      <c r="P35" s="41"/>
      <c r="Q35" s="41"/>
      <c r="R35" s="41"/>
      <c r="S35" s="6"/>
      <c r="T35" s="6"/>
    </row>
    <row r="36" spans="1:20" ht="15" thickBot="1" x14ac:dyDescent="0.4">
      <c r="A36" s="15"/>
      <c r="B36" s="6"/>
      <c r="C36" s="6"/>
      <c r="D36" s="6"/>
      <c r="E36" s="6"/>
      <c r="F36" s="6"/>
      <c r="G36" s="6"/>
      <c r="H36" s="6"/>
      <c r="I36" s="6"/>
      <c r="J36" s="6"/>
      <c r="K36" s="6"/>
      <c r="L36" s="6"/>
      <c r="M36" s="6"/>
      <c r="N36" s="6"/>
      <c r="O36" s="6"/>
      <c r="P36" s="6"/>
      <c r="Q36" s="6"/>
      <c r="R36" s="6"/>
      <c r="S36" s="6"/>
      <c r="T36" s="6"/>
    </row>
    <row r="37" spans="1:20" ht="15" thickBot="1" x14ac:dyDescent="0.4">
      <c r="A37" s="15"/>
      <c r="B37" s="42" t="s">
        <v>26</v>
      </c>
      <c r="C37" s="43"/>
      <c r="D37" s="44"/>
      <c r="E37" s="6"/>
      <c r="F37" s="6"/>
      <c r="G37" s="6"/>
      <c r="H37" s="6"/>
      <c r="I37" s="6"/>
      <c r="J37" s="6"/>
      <c r="K37" s="6"/>
      <c r="L37" s="6"/>
      <c r="M37" s="6"/>
      <c r="N37" s="6"/>
      <c r="O37" s="6"/>
      <c r="P37" s="6"/>
      <c r="Q37" s="6"/>
      <c r="R37" s="6"/>
      <c r="S37" s="6"/>
      <c r="T37" s="6"/>
    </row>
    <row r="38" spans="1:20" x14ac:dyDescent="0.35">
      <c r="A38" s="15"/>
      <c r="B38" s="41"/>
      <c r="C38" s="41"/>
      <c r="D38" s="41"/>
      <c r="E38" s="41"/>
      <c r="F38" s="41"/>
      <c r="G38" s="41"/>
      <c r="H38" s="41"/>
      <c r="I38" s="41"/>
      <c r="J38" s="41"/>
      <c r="K38" s="41"/>
      <c r="L38" s="41"/>
      <c r="M38" s="41"/>
      <c r="N38" s="41"/>
      <c r="O38" s="41"/>
      <c r="P38" s="41"/>
      <c r="Q38" s="41"/>
      <c r="R38" s="41"/>
      <c r="S38" s="6"/>
      <c r="T38" s="6"/>
    </row>
    <row r="39" spans="1:20" x14ac:dyDescent="0.35">
      <c r="A39" s="6"/>
      <c r="B39" s="41"/>
      <c r="C39" s="41"/>
      <c r="D39" s="41"/>
      <c r="E39" s="41"/>
      <c r="F39" s="41"/>
      <c r="G39" s="41"/>
      <c r="H39" s="41"/>
      <c r="I39" s="41"/>
      <c r="J39" s="41"/>
      <c r="K39" s="41"/>
      <c r="L39" s="41"/>
      <c r="M39" s="41"/>
      <c r="N39" s="41"/>
      <c r="O39" s="41"/>
      <c r="P39" s="41"/>
      <c r="Q39" s="41"/>
      <c r="R39" s="41"/>
      <c r="S39" s="6"/>
      <c r="T39" s="6"/>
    </row>
    <row r="40" spans="1:20" x14ac:dyDescent="0.35">
      <c r="A40" s="6"/>
      <c r="B40" s="41"/>
      <c r="C40" s="41"/>
      <c r="D40" s="41"/>
      <c r="E40" s="41"/>
      <c r="F40" s="41"/>
      <c r="G40" s="41"/>
      <c r="H40" s="41"/>
      <c r="I40" s="41"/>
      <c r="J40" s="41"/>
      <c r="K40" s="41"/>
      <c r="L40" s="41"/>
      <c r="M40" s="41"/>
      <c r="N40" s="41"/>
      <c r="O40" s="41"/>
      <c r="P40" s="41"/>
      <c r="Q40" s="41"/>
      <c r="R40" s="41"/>
      <c r="S40" s="6"/>
      <c r="T40" s="6"/>
    </row>
    <row r="41" spans="1:20" x14ac:dyDescent="0.35">
      <c r="A41" s="6"/>
      <c r="B41" s="41"/>
      <c r="C41" s="41"/>
      <c r="D41" s="41"/>
      <c r="E41" s="41"/>
      <c r="F41" s="41"/>
      <c r="G41" s="41"/>
      <c r="H41" s="41"/>
      <c r="I41" s="41"/>
      <c r="J41" s="41"/>
      <c r="K41" s="41"/>
      <c r="L41" s="41"/>
      <c r="M41" s="41"/>
      <c r="N41" s="41"/>
      <c r="O41" s="41"/>
      <c r="P41" s="41"/>
      <c r="Q41" s="41"/>
      <c r="R41" s="41"/>
      <c r="S41" s="6"/>
      <c r="T41" s="6"/>
    </row>
    <row r="42" spans="1:20" x14ac:dyDescent="0.35">
      <c r="A42" s="6"/>
      <c r="B42" s="41"/>
      <c r="C42" s="41"/>
      <c r="D42" s="41"/>
      <c r="E42" s="41"/>
      <c r="F42" s="41"/>
      <c r="G42" s="41"/>
      <c r="H42" s="41"/>
      <c r="I42" s="41"/>
      <c r="J42" s="41"/>
      <c r="K42" s="41"/>
      <c r="L42" s="41"/>
      <c r="M42" s="41"/>
      <c r="N42" s="41"/>
      <c r="O42" s="41"/>
      <c r="P42" s="41"/>
      <c r="Q42" s="41"/>
      <c r="R42" s="41"/>
      <c r="S42" s="6"/>
      <c r="T42" s="6"/>
    </row>
    <row r="43" spans="1:20" x14ac:dyDescent="0.35">
      <c r="A43" s="6"/>
      <c r="B43" s="41"/>
      <c r="C43" s="41"/>
      <c r="D43" s="41"/>
      <c r="E43" s="41"/>
      <c r="F43" s="41"/>
      <c r="G43" s="41"/>
      <c r="H43" s="41"/>
      <c r="I43" s="41"/>
      <c r="J43" s="41"/>
      <c r="K43" s="41"/>
      <c r="L43" s="41"/>
      <c r="M43" s="41"/>
      <c r="N43" s="41"/>
      <c r="O43" s="41"/>
      <c r="P43" s="41"/>
      <c r="Q43" s="41"/>
      <c r="R43" s="41"/>
      <c r="S43" s="6"/>
      <c r="T43" s="6"/>
    </row>
    <row r="44" spans="1:20" x14ac:dyDescent="0.35">
      <c r="A44" s="6"/>
      <c r="B44" s="41"/>
      <c r="C44" s="41"/>
      <c r="D44" s="41"/>
      <c r="E44" s="41"/>
      <c r="F44" s="41"/>
      <c r="G44" s="41"/>
      <c r="H44" s="41"/>
      <c r="I44" s="41"/>
      <c r="J44" s="41"/>
      <c r="K44" s="41"/>
      <c r="L44" s="41"/>
      <c r="M44" s="41"/>
      <c r="N44" s="41"/>
      <c r="O44" s="41"/>
      <c r="P44" s="41"/>
      <c r="Q44" s="41"/>
      <c r="R44" s="41"/>
      <c r="S44" s="6"/>
      <c r="T44" s="6"/>
    </row>
    <row r="45" spans="1:20" x14ac:dyDescent="0.35">
      <c r="A45" s="6"/>
      <c r="B45" s="41"/>
      <c r="C45" s="41"/>
      <c r="D45" s="41"/>
      <c r="E45" s="41"/>
      <c r="F45" s="41"/>
      <c r="G45" s="41"/>
      <c r="H45" s="41"/>
      <c r="I45" s="41"/>
      <c r="J45" s="41"/>
      <c r="K45" s="41"/>
      <c r="L45" s="41"/>
      <c r="M45" s="41"/>
      <c r="N45" s="41"/>
      <c r="O45" s="41"/>
      <c r="P45" s="41"/>
      <c r="Q45" s="41"/>
      <c r="R45" s="41"/>
      <c r="S45" s="6"/>
      <c r="T45" s="6"/>
    </row>
    <row r="46" spans="1:20" x14ac:dyDescent="0.35">
      <c r="A46" s="6"/>
      <c r="B46" s="41"/>
      <c r="C46" s="41"/>
      <c r="D46" s="41"/>
      <c r="E46" s="41"/>
      <c r="F46" s="41"/>
      <c r="G46" s="41"/>
      <c r="H46" s="41"/>
      <c r="I46" s="41"/>
      <c r="J46" s="41"/>
      <c r="K46" s="41"/>
      <c r="L46" s="41"/>
      <c r="M46" s="41"/>
      <c r="N46" s="41"/>
      <c r="O46" s="41"/>
      <c r="P46" s="41"/>
      <c r="Q46" s="41"/>
      <c r="R46" s="41"/>
      <c r="S46" s="6"/>
      <c r="T46" s="6"/>
    </row>
    <row r="47" spans="1:20" x14ac:dyDescent="0.35">
      <c r="A47" s="6"/>
      <c r="B47" s="41"/>
      <c r="C47" s="41"/>
      <c r="D47" s="41"/>
      <c r="E47" s="41"/>
      <c r="F47" s="41"/>
      <c r="G47" s="41"/>
      <c r="H47" s="41"/>
      <c r="I47" s="41"/>
      <c r="J47" s="41"/>
      <c r="K47" s="41"/>
      <c r="L47" s="41"/>
      <c r="M47" s="41"/>
      <c r="N47" s="41"/>
      <c r="O47" s="41"/>
      <c r="P47" s="41"/>
      <c r="Q47" s="41"/>
      <c r="R47" s="41"/>
      <c r="S47" s="6"/>
      <c r="T47" s="6"/>
    </row>
    <row r="48" spans="1:20" x14ac:dyDescent="0.35">
      <c r="A48" s="6"/>
      <c r="B48" s="41"/>
      <c r="C48" s="41"/>
      <c r="D48" s="41"/>
      <c r="E48" s="41"/>
      <c r="F48" s="41"/>
      <c r="G48" s="41"/>
      <c r="H48" s="41"/>
      <c r="I48" s="41"/>
      <c r="J48" s="41"/>
      <c r="K48" s="41"/>
      <c r="L48" s="41"/>
      <c r="M48" s="41"/>
      <c r="N48" s="41"/>
      <c r="O48" s="41"/>
      <c r="P48" s="41"/>
      <c r="Q48" s="41"/>
      <c r="R48" s="41"/>
      <c r="S48" s="6"/>
      <c r="T48" s="6"/>
    </row>
    <row r="49" spans="1:20" ht="15" thickBot="1" x14ac:dyDescent="0.4">
      <c r="A49" s="15"/>
      <c r="B49" s="6"/>
      <c r="C49" s="6"/>
      <c r="D49" s="6"/>
      <c r="E49" s="6"/>
      <c r="F49" s="6"/>
      <c r="G49" s="6"/>
      <c r="H49" s="6"/>
      <c r="I49" s="6"/>
      <c r="J49" s="6"/>
      <c r="K49" s="6"/>
      <c r="L49" s="6"/>
      <c r="M49" s="6"/>
      <c r="N49" s="6"/>
      <c r="O49" s="6"/>
      <c r="P49" s="6"/>
      <c r="Q49" s="6"/>
      <c r="R49" s="6"/>
      <c r="S49" s="6"/>
      <c r="T49" s="6"/>
    </row>
    <row r="50" spans="1:20" ht="15" thickBot="1" x14ac:dyDescent="0.4">
      <c r="A50" s="15"/>
      <c r="B50" s="42" t="s">
        <v>32</v>
      </c>
      <c r="C50" s="43"/>
      <c r="D50" s="44"/>
      <c r="E50" s="6"/>
      <c r="F50" s="6"/>
      <c r="G50" s="6"/>
      <c r="H50" s="6"/>
      <c r="I50" s="6"/>
      <c r="J50" s="6"/>
      <c r="K50" s="6"/>
      <c r="L50" s="6"/>
      <c r="M50" s="6"/>
      <c r="N50" s="6"/>
      <c r="O50" s="6"/>
      <c r="P50" s="6"/>
      <c r="Q50" s="6"/>
      <c r="R50" s="6"/>
      <c r="S50" s="6"/>
      <c r="T50" s="6"/>
    </row>
    <row r="51" spans="1:20" x14ac:dyDescent="0.35">
      <c r="A51" s="15"/>
      <c r="B51" s="46"/>
      <c r="C51" s="46"/>
      <c r="D51" s="46"/>
      <c r="E51" s="46"/>
      <c r="F51" s="46"/>
      <c r="G51" s="46"/>
      <c r="H51" s="46"/>
      <c r="I51" s="46"/>
      <c r="J51" s="46"/>
      <c r="K51" s="46"/>
      <c r="L51" s="46"/>
      <c r="M51" s="46"/>
      <c r="N51" s="46"/>
      <c r="O51" s="46"/>
      <c r="P51" s="46"/>
      <c r="Q51" s="46"/>
      <c r="R51" s="46"/>
      <c r="S51" s="6"/>
      <c r="T51" s="6"/>
    </row>
    <row r="52" spans="1:20" x14ac:dyDescent="0.35">
      <c r="A52" s="6"/>
      <c r="B52" s="46"/>
      <c r="C52" s="46"/>
      <c r="D52" s="46"/>
      <c r="E52" s="46"/>
      <c r="F52" s="46"/>
      <c r="G52" s="46"/>
      <c r="H52" s="46"/>
      <c r="I52" s="46"/>
      <c r="J52" s="46"/>
      <c r="K52" s="46"/>
      <c r="L52" s="46"/>
      <c r="M52" s="46"/>
      <c r="N52" s="46"/>
      <c r="O52" s="46"/>
      <c r="P52" s="46"/>
      <c r="Q52" s="46"/>
      <c r="R52" s="46"/>
      <c r="S52" s="6"/>
      <c r="T52" s="6"/>
    </row>
    <row r="53" spans="1:20" x14ac:dyDescent="0.35">
      <c r="A53" s="6"/>
      <c r="B53" s="46"/>
      <c r="C53" s="46"/>
      <c r="D53" s="46"/>
      <c r="E53" s="46"/>
      <c r="F53" s="46"/>
      <c r="G53" s="46"/>
      <c r="H53" s="46"/>
      <c r="I53" s="46"/>
      <c r="J53" s="46"/>
      <c r="K53" s="46"/>
      <c r="L53" s="46"/>
      <c r="M53" s="46"/>
      <c r="N53" s="46"/>
      <c r="O53" s="46"/>
      <c r="P53" s="46"/>
      <c r="Q53" s="46"/>
      <c r="R53" s="46"/>
      <c r="S53" s="6"/>
      <c r="T53" s="6"/>
    </row>
    <row r="54" spans="1:20" x14ac:dyDescent="0.35">
      <c r="A54" s="6"/>
      <c r="B54" s="46"/>
      <c r="C54" s="46"/>
      <c r="D54" s="46"/>
      <c r="E54" s="46"/>
      <c r="F54" s="46"/>
      <c r="G54" s="46"/>
      <c r="H54" s="46"/>
      <c r="I54" s="46"/>
      <c r="J54" s="46"/>
      <c r="K54" s="46"/>
      <c r="L54" s="46"/>
      <c r="M54" s="46"/>
      <c r="N54" s="46"/>
      <c r="O54" s="46"/>
      <c r="P54" s="46"/>
      <c r="Q54" s="46"/>
      <c r="R54" s="46"/>
      <c r="S54" s="6"/>
      <c r="T54" s="6"/>
    </row>
    <row r="55" spans="1:20" x14ac:dyDescent="0.35">
      <c r="A55" s="6"/>
      <c r="B55" s="46"/>
      <c r="C55" s="46"/>
      <c r="D55" s="46"/>
      <c r="E55" s="46"/>
      <c r="F55" s="46"/>
      <c r="G55" s="46"/>
      <c r="H55" s="46"/>
      <c r="I55" s="46"/>
      <c r="J55" s="46"/>
      <c r="K55" s="46"/>
      <c r="L55" s="46"/>
      <c r="M55" s="46"/>
      <c r="N55" s="46"/>
      <c r="O55" s="46"/>
      <c r="P55" s="46"/>
      <c r="Q55" s="46"/>
      <c r="R55" s="46"/>
      <c r="S55" s="6"/>
      <c r="T55" s="6"/>
    </row>
    <row r="56" spans="1:20" x14ac:dyDescent="0.35">
      <c r="A56" s="6"/>
      <c r="B56" s="46"/>
      <c r="C56" s="46"/>
      <c r="D56" s="46"/>
      <c r="E56" s="46"/>
      <c r="F56" s="46"/>
      <c r="G56" s="46"/>
      <c r="H56" s="46"/>
      <c r="I56" s="46"/>
      <c r="J56" s="46"/>
      <c r="K56" s="46"/>
      <c r="L56" s="46"/>
      <c r="M56" s="46"/>
      <c r="N56" s="46"/>
      <c r="O56" s="46"/>
      <c r="P56" s="46"/>
      <c r="Q56" s="46"/>
      <c r="R56" s="46"/>
      <c r="S56" s="6"/>
      <c r="T56" s="6"/>
    </row>
    <row r="57" spans="1:20" x14ac:dyDescent="0.35">
      <c r="A57" s="6"/>
      <c r="B57" s="46"/>
      <c r="C57" s="46"/>
      <c r="D57" s="46"/>
      <c r="E57" s="46"/>
      <c r="F57" s="46"/>
      <c r="G57" s="46"/>
      <c r="H57" s="46"/>
      <c r="I57" s="46"/>
      <c r="J57" s="46"/>
      <c r="K57" s="46"/>
      <c r="L57" s="46"/>
      <c r="M57" s="46"/>
      <c r="N57" s="46"/>
      <c r="O57" s="46"/>
      <c r="P57" s="46"/>
      <c r="Q57" s="46"/>
      <c r="R57" s="46"/>
      <c r="S57" s="6"/>
      <c r="T57" s="6"/>
    </row>
    <row r="58" spans="1:20" x14ac:dyDescent="0.35">
      <c r="A58" s="6"/>
      <c r="B58" s="46"/>
      <c r="C58" s="46"/>
      <c r="D58" s="46"/>
      <c r="E58" s="46"/>
      <c r="F58" s="46"/>
      <c r="G58" s="46"/>
      <c r="H58" s="46"/>
      <c r="I58" s="46"/>
      <c r="J58" s="46"/>
      <c r="K58" s="46"/>
      <c r="L58" s="46"/>
      <c r="M58" s="46"/>
      <c r="N58" s="46"/>
      <c r="O58" s="46"/>
      <c r="P58" s="46"/>
      <c r="Q58" s="46"/>
      <c r="R58" s="46"/>
      <c r="S58" s="6"/>
      <c r="T58" s="6"/>
    </row>
    <row r="59" spans="1:20" x14ac:dyDescent="0.35">
      <c r="A59" s="6"/>
      <c r="B59" s="46"/>
      <c r="C59" s="46"/>
      <c r="D59" s="46"/>
      <c r="E59" s="46"/>
      <c r="F59" s="46"/>
      <c r="G59" s="46"/>
      <c r="H59" s="46"/>
      <c r="I59" s="46"/>
      <c r="J59" s="46"/>
      <c r="K59" s="46"/>
      <c r="L59" s="46"/>
      <c r="M59" s="46"/>
      <c r="N59" s="46"/>
      <c r="O59" s="46"/>
      <c r="P59" s="46"/>
      <c r="Q59" s="46"/>
      <c r="R59" s="46"/>
      <c r="S59" s="6"/>
      <c r="T59" s="6"/>
    </row>
    <row r="60" spans="1:20" x14ac:dyDescent="0.35">
      <c r="A60" s="6"/>
      <c r="B60" s="46"/>
      <c r="C60" s="46"/>
      <c r="D60" s="46"/>
      <c r="E60" s="46"/>
      <c r="F60" s="46"/>
      <c r="G60" s="46"/>
      <c r="H60" s="46"/>
      <c r="I60" s="46"/>
      <c r="J60" s="46"/>
      <c r="K60" s="46"/>
      <c r="L60" s="46"/>
      <c r="M60" s="46"/>
      <c r="N60" s="46"/>
      <c r="O60" s="46"/>
      <c r="P60" s="46"/>
      <c r="Q60" s="46"/>
      <c r="R60" s="46"/>
      <c r="S60" s="6"/>
      <c r="T60" s="6"/>
    </row>
    <row r="61" spans="1:20" x14ac:dyDescent="0.35">
      <c r="A61" s="6"/>
      <c r="B61" s="46"/>
      <c r="C61" s="46"/>
      <c r="D61" s="46"/>
      <c r="E61" s="46"/>
      <c r="F61" s="46"/>
      <c r="G61" s="46"/>
      <c r="H61" s="46"/>
      <c r="I61" s="46"/>
      <c r="J61" s="46"/>
      <c r="K61" s="46"/>
      <c r="L61" s="46"/>
      <c r="M61" s="46"/>
      <c r="N61" s="46"/>
      <c r="O61" s="46"/>
      <c r="P61" s="46"/>
      <c r="Q61" s="46"/>
      <c r="R61" s="46"/>
      <c r="S61" s="6"/>
      <c r="T61" s="6"/>
    </row>
    <row r="62" spans="1:20" ht="15" thickBot="1" x14ac:dyDescent="0.4">
      <c r="A62" s="6"/>
      <c r="B62" s="6"/>
      <c r="C62" s="6"/>
      <c r="D62" s="6"/>
      <c r="E62" s="6"/>
      <c r="F62" s="6"/>
      <c r="G62" s="6"/>
      <c r="H62" s="6"/>
      <c r="I62" s="6"/>
      <c r="J62" s="6"/>
      <c r="K62" s="6"/>
      <c r="L62" s="6"/>
      <c r="M62" s="6"/>
      <c r="N62" s="6"/>
      <c r="O62" s="6"/>
      <c r="P62" s="6"/>
      <c r="Q62" s="6"/>
      <c r="R62" s="6"/>
      <c r="S62" s="6"/>
      <c r="T62" s="6"/>
    </row>
    <row r="63" spans="1:20" ht="15" thickBot="1" x14ac:dyDescent="0.4">
      <c r="A63" s="15"/>
      <c r="B63" s="42" t="s">
        <v>28</v>
      </c>
      <c r="C63" s="43"/>
      <c r="D63" s="44"/>
      <c r="E63" s="6"/>
      <c r="F63" s="6"/>
      <c r="G63" s="6"/>
      <c r="H63" s="6"/>
      <c r="I63" s="6"/>
      <c r="J63" s="6"/>
      <c r="K63" s="6"/>
      <c r="L63" s="6"/>
      <c r="M63" s="6"/>
      <c r="N63" s="6"/>
      <c r="O63" s="6"/>
      <c r="P63" s="6"/>
      <c r="Q63" s="6"/>
      <c r="R63" s="6"/>
      <c r="S63" s="6"/>
      <c r="T63" s="6"/>
    </row>
    <row r="64" spans="1:20" x14ac:dyDescent="0.35">
      <c r="A64" s="15"/>
      <c r="B64" s="41"/>
      <c r="C64" s="41"/>
      <c r="D64" s="41"/>
      <c r="E64" s="41"/>
      <c r="F64" s="41"/>
      <c r="G64" s="41"/>
      <c r="H64" s="41"/>
      <c r="I64" s="41"/>
      <c r="J64" s="41"/>
      <c r="K64" s="41"/>
      <c r="L64" s="41"/>
      <c r="M64" s="41"/>
      <c r="N64" s="41"/>
      <c r="O64" s="41"/>
      <c r="P64" s="41"/>
      <c r="Q64" s="41"/>
      <c r="R64" s="41"/>
      <c r="S64" s="6"/>
      <c r="T64" s="6"/>
    </row>
    <row r="65" spans="1:20" x14ac:dyDescent="0.35">
      <c r="A65" s="6"/>
      <c r="B65" s="41"/>
      <c r="C65" s="41"/>
      <c r="D65" s="41"/>
      <c r="E65" s="41"/>
      <c r="F65" s="41"/>
      <c r="G65" s="41"/>
      <c r="H65" s="41"/>
      <c r="I65" s="41"/>
      <c r="J65" s="41"/>
      <c r="K65" s="41"/>
      <c r="L65" s="41"/>
      <c r="M65" s="41"/>
      <c r="N65" s="41"/>
      <c r="O65" s="41"/>
      <c r="P65" s="41"/>
      <c r="Q65" s="41"/>
      <c r="R65" s="41"/>
      <c r="S65" s="6"/>
      <c r="T65" s="6"/>
    </row>
    <row r="66" spans="1:20" x14ac:dyDescent="0.35">
      <c r="A66" s="6"/>
      <c r="B66" s="41"/>
      <c r="C66" s="41"/>
      <c r="D66" s="41"/>
      <c r="E66" s="41"/>
      <c r="F66" s="41"/>
      <c r="G66" s="41"/>
      <c r="H66" s="41"/>
      <c r="I66" s="41"/>
      <c r="J66" s="41"/>
      <c r="K66" s="41"/>
      <c r="L66" s="41"/>
      <c r="M66" s="41"/>
      <c r="N66" s="41"/>
      <c r="O66" s="41"/>
      <c r="P66" s="41"/>
      <c r="Q66" s="41"/>
      <c r="R66" s="41"/>
      <c r="S66" s="6"/>
      <c r="T66" s="6"/>
    </row>
    <row r="67" spans="1:20" x14ac:dyDescent="0.35">
      <c r="A67" s="6"/>
      <c r="B67" s="41"/>
      <c r="C67" s="41"/>
      <c r="D67" s="41"/>
      <c r="E67" s="41"/>
      <c r="F67" s="41"/>
      <c r="G67" s="41"/>
      <c r="H67" s="41"/>
      <c r="I67" s="41"/>
      <c r="J67" s="41"/>
      <c r="K67" s="41"/>
      <c r="L67" s="41"/>
      <c r="M67" s="41"/>
      <c r="N67" s="41"/>
      <c r="O67" s="41"/>
      <c r="P67" s="41"/>
      <c r="Q67" s="41"/>
      <c r="R67" s="41"/>
      <c r="S67" s="6"/>
      <c r="T67" s="6"/>
    </row>
    <row r="68" spans="1:20" x14ac:dyDescent="0.35">
      <c r="A68" s="6"/>
      <c r="B68" s="41"/>
      <c r="C68" s="41"/>
      <c r="D68" s="41"/>
      <c r="E68" s="41"/>
      <c r="F68" s="41"/>
      <c r="G68" s="41"/>
      <c r="H68" s="41"/>
      <c r="I68" s="41"/>
      <c r="J68" s="41"/>
      <c r="K68" s="41"/>
      <c r="L68" s="41"/>
      <c r="M68" s="41"/>
      <c r="N68" s="41"/>
      <c r="O68" s="41"/>
      <c r="P68" s="41"/>
      <c r="Q68" s="41"/>
      <c r="R68" s="41"/>
      <c r="S68" s="6"/>
      <c r="T68" s="6"/>
    </row>
    <row r="69" spans="1:20" x14ac:dyDescent="0.35">
      <c r="A69" s="6"/>
      <c r="B69" s="41"/>
      <c r="C69" s="41"/>
      <c r="D69" s="41"/>
      <c r="E69" s="41"/>
      <c r="F69" s="41"/>
      <c r="G69" s="41"/>
      <c r="H69" s="41"/>
      <c r="I69" s="41"/>
      <c r="J69" s="41"/>
      <c r="K69" s="41"/>
      <c r="L69" s="41"/>
      <c r="M69" s="41"/>
      <c r="N69" s="41"/>
      <c r="O69" s="41"/>
      <c r="P69" s="41"/>
      <c r="Q69" s="41"/>
      <c r="R69" s="41"/>
      <c r="S69" s="6"/>
      <c r="T69" s="6"/>
    </row>
    <row r="70" spans="1:20" x14ac:dyDescent="0.35">
      <c r="A70" s="6"/>
      <c r="B70" s="41"/>
      <c r="C70" s="41"/>
      <c r="D70" s="41"/>
      <c r="E70" s="41"/>
      <c r="F70" s="41"/>
      <c r="G70" s="41"/>
      <c r="H70" s="41"/>
      <c r="I70" s="41"/>
      <c r="J70" s="41"/>
      <c r="K70" s="41"/>
      <c r="L70" s="41"/>
      <c r="M70" s="41"/>
      <c r="N70" s="41"/>
      <c r="O70" s="41"/>
      <c r="P70" s="41"/>
      <c r="Q70" s="41"/>
      <c r="R70" s="41"/>
      <c r="S70" s="6"/>
      <c r="T70" s="6"/>
    </row>
    <row r="71" spans="1:20" x14ac:dyDescent="0.35">
      <c r="A71" s="6"/>
      <c r="B71" s="41"/>
      <c r="C71" s="41"/>
      <c r="D71" s="41"/>
      <c r="E71" s="41"/>
      <c r="F71" s="41"/>
      <c r="G71" s="41"/>
      <c r="H71" s="41"/>
      <c r="I71" s="41"/>
      <c r="J71" s="41"/>
      <c r="K71" s="41"/>
      <c r="L71" s="41"/>
      <c r="M71" s="41"/>
      <c r="N71" s="41"/>
      <c r="O71" s="41"/>
      <c r="P71" s="41"/>
      <c r="Q71" s="41"/>
      <c r="R71" s="41"/>
      <c r="S71" s="6"/>
      <c r="T71" s="6"/>
    </row>
    <row r="72" spans="1:20" x14ac:dyDescent="0.35">
      <c r="A72" s="6"/>
      <c r="B72" s="41"/>
      <c r="C72" s="41"/>
      <c r="D72" s="41"/>
      <c r="E72" s="41"/>
      <c r="F72" s="41"/>
      <c r="G72" s="41"/>
      <c r="H72" s="41"/>
      <c r="I72" s="41"/>
      <c r="J72" s="41"/>
      <c r="K72" s="41"/>
      <c r="L72" s="41"/>
      <c r="M72" s="41"/>
      <c r="N72" s="41"/>
      <c r="O72" s="41"/>
      <c r="P72" s="41"/>
      <c r="Q72" s="41"/>
      <c r="R72" s="41"/>
      <c r="S72" s="6"/>
      <c r="T72" s="6"/>
    </row>
    <row r="73" spans="1:20" x14ac:dyDescent="0.35">
      <c r="A73" s="6"/>
      <c r="B73" s="41"/>
      <c r="C73" s="41"/>
      <c r="D73" s="41"/>
      <c r="E73" s="41"/>
      <c r="F73" s="41"/>
      <c r="G73" s="41"/>
      <c r="H73" s="41"/>
      <c r="I73" s="41"/>
      <c r="J73" s="41"/>
      <c r="K73" s="41"/>
      <c r="L73" s="41"/>
      <c r="M73" s="41"/>
      <c r="N73" s="41"/>
      <c r="O73" s="41"/>
      <c r="P73" s="41"/>
      <c r="Q73" s="41"/>
      <c r="R73" s="41"/>
      <c r="S73" s="6"/>
      <c r="T73" s="6"/>
    </row>
    <row r="74" spans="1:20" x14ac:dyDescent="0.35">
      <c r="A74" s="6"/>
      <c r="B74" s="41"/>
      <c r="C74" s="41"/>
      <c r="D74" s="41"/>
      <c r="E74" s="41"/>
      <c r="F74" s="41"/>
      <c r="G74" s="41"/>
      <c r="H74" s="41"/>
      <c r="I74" s="41"/>
      <c r="J74" s="41"/>
      <c r="K74" s="41"/>
      <c r="L74" s="41"/>
      <c r="M74" s="41"/>
      <c r="N74" s="41"/>
      <c r="O74" s="41"/>
      <c r="P74" s="41"/>
      <c r="Q74" s="41"/>
      <c r="R74" s="41"/>
      <c r="S74" s="6"/>
      <c r="T74" s="6"/>
    </row>
    <row r="75" spans="1:20" ht="15" thickBot="1" x14ac:dyDescent="0.4">
      <c r="A75" s="6"/>
      <c r="B75" s="6"/>
      <c r="C75" s="6"/>
      <c r="D75" s="6"/>
      <c r="E75" s="6"/>
      <c r="F75" s="6"/>
      <c r="G75" s="6"/>
      <c r="H75" s="6"/>
      <c r="I75" s="6"/>
      <c r="J75" s="6"/>
      <c r="K75" s="6"/>
      <c r="L75" s="6"/>
      <c r="M75" s="6"/>
      <c r="N75" s="6"/>
      <c r="O75" s="6"/>
      <c r="P75" s="6"/>
      <c r="Q75" s="6"/>
      <c r="R75" s="6"/>
      <c r="S75" s="6"/>
      <c r="T75" s="6"/>
    </row>
    <row r="76" spans="1:20" ht="15" thickBot="1" x14ac:dyDescent="0.4">
      <c r="A76" s="15"/>
      <c r="B76" s="42" t="s">
        <v>40</v>
      </c>
      <c r="C76" s="43"/>
      <c r="D76" s="44"/>
      <c r="E76" s="6"/>
      <c r="F76" s="6"/>
      <c r="G76" s="6"/>
      <c r="H76" s="6"/>
      <c r="I76" s="6"/>
      <c r="J76" s="6"/>
      <c r="K76" s="6"/>
      <c r="L76" s="6"/>
      <c r="M76" s="6"/>
      <c r="N76" s="6"/>
      <c r="O76" s="6"/>
      <c r="P76" s="6"/>
      <c r="Q76" s="6"/>
      <c r="R76" s="6"/>
      <c r="S76" s="6"/>
      <c r="T76" s="6"/>
    </row>
    <row r="77" spans="1:20" x14ac:dyDescent="0.35">
      <c r="A77" s="15"/>
      <c r="B77" s="41"/>
      <c r="C77" s="41"/>
      <c r="D77" s="41"/>
      <c r="E77" s="41"/>
      <c r="F77" s="41"/>
      <c r="G77" s="41"/>
      <c r="H77" s="41"/>
      <c r="I77" s="41"/>
      <c r="J77" s="41"/>
      <c r="K77" s="41"/>
      <c r="L77" s="41"/>
      <c r="M77" s="41"/>
      <c r="N77" s="41"/>
      <c r="O77" s="41"/>
      <c r="P77" s="41"/>
      <c r="Q77" s="41"/>
      <c r="R77" s="41"/>
      <c r="S77" s="6"/>
      <c r="T77" s="6"/>
    </row>
    <row r="78" spans="1:20" x14ac:dyDescent="0.35">
      <c r="A78" s="6"/>
      <c r="B78" s="41"/>
      <c r="C78" s="41"/>
      <c r="D78" s="41"/>
      <c r="E78" s="41"/>
      <c r="F78" s="41"/>
      <c r="G78" s="41"/>
      <c r="H78" s="41"/>
      <c r="I78" s="41"/>
      <c r="J78" s="41"/>
      <c r="K78" s="41"/>
      <c r="L78" s="41"/>
      <c r="M78" s="41"/>
      <c r="N78" s="41"/>
      <c r="O78" s="41"/>
      <c r="P78" s="41"/>
      <c r="Q78" s="41"/>
      <c r="R78" s="41"/>
      <c r="S78" s="6"/>
      <c r="T78" s="6"/>
    </row>
    <row r="79" spans="1:20" x14ac:dyDescent="0.35">
      <c r="A79" s="6"/>
      <c r="B79" s="41"/>
      <c r="C79" s="41"/>
      <c r="D79" s="41"/>
      <c r="E79" s="41"/>
      <c r="F79" s="41"/>
      <c r="G79" s="41"/>
      <c r="H79" s="41"/>
      <c r="I79" s="41"/>
      <c r="J79" s="41"/>
      <c r="K79" s="41"/>
      <c r="L79" s="41"/>
      <c r="M79" s="41"/>
      <c r="N79" s="41"/>
      <c r="O79" s="41"/>
      <c r="P79" s="41"/>
      <c r="Q79" s="41"/>
      <c r="R79" s="41"/>
      <c r="S79" s="6"/>
      <c r="T79" s="6"/>
    </row>
    <row r="80" spans="1:20" x14ac:dyDescent="0.35">
      <c r="A80" s="6"/>
      <c r="B80" s="41"/>
      <c r="C80" s="41"/>
      <c r="D80" s="41"/>
      <c r="E80" s="41"/>
      <c r="F80" s="41"/>
      <c r="G80" s="41"/>
      <c r="H80" s="41"/>
      <c r="I80" s="41"/>
      <c r="J80" s="41"/>
      <c r="K80" s="41"/>
      <c r="L80" s="41"/>
      <c r="M80" s="41"/>
      <c r="N80" s="41"/>
      <c r="O80" s="41"/>
      <c r="P80" s="41"/>
      <c r="Q80" s="41"/>
      <c r="R80" s="41"/>
      <c r="S80" s="6"/>
      <c r="T80" s="6"/>
    </row>
    <row r="81" spans="1:20" x14ac:dyDescent="0.35">
      <c r="A81" s="6"/>
      <c r="B81" s="41"/>
      <c r="C81" s="41"/>
      <c r="D81" s="41"/>
      <c r="E81" s="41"/>
      <c r="F81" s="41"/>
      <c r="G81" s="41"/>
      <c r="H81" s="41"/>
      <c r="I81" s="41"/>
      <c r="J81" s="41"/>
      <c r="K81" s="41"/>
      <c r="L81" s="41"/>
      <c r="M81" s="41"/>
      <c r="N81" s="41"/>
      <c r="O81" s="41"/>
      <c r="P81" s="41"/>
      <c r="Q81" s="41"/>
      <c r="R81" s="41"/>
      <c r="S81" s="6"/>
      <c r="T81" s="6"/>
    </row>
    <row r="82" spans="1:20" x14ac:dyDescent="0.35">
      <c r="A82" s="6"/>
      <c r="B82" s="41"/>
      <c r="C82" s="41"/>
      <c r="D82" s="41"/>
      <c r="E82" s="41"/>
      <c r="F82" s="41"/>
      <c r="G82" s="41"/>
      <c r="H82" s="41"/>
      <c r="I82" s="41"/>
      <c r="J82" s="41"/>
      <c r="K82" s="41"/>
      <c r="L82" s="41"/>
      <c r="M82" s="41"/>
      <c r="N82" s="41"/>
      <c r="O82" s="41"/>
      <c r="P82" s="41"/>
      <c r="Q82" s="41"/>
      <c r="R82" s="41"/>
      <c r="S82" s="6"/>
      <c r="T82" s="6"/>
    </row>
    <row r="83" spans="1:20" x14ac:dyDescent="0.35">
      <c r="A83" s="6"/>
      <c r="B83" s="41"/>
      <c r="C83" s="41"/>
      <c r="D83" s="41"/>
      <c r="E83" s="41"/>
      <c r="F83" s="41"/>
      <c r="G83" s="41"/>
      <c r="H83" s="41"/>
      <c r="I83" s="41"/>
      <c r="J83" s="41"/>
      <c r="K83" s="41"/>
      <c r="L83" s="41"/>
      <c r="M83" s="41"/>
      <c r="N83" s="41"/>
      <c r="O83" s="41"/>
      <c r="P83" s="41"/>
      <c r="Q83" s="41"/>
      <c r="R83" s="41"/>
      <c r="S83" s="6"/>
      <c r="T83" s="6"/>
    </row>
    <row r="84" spans="1:20" x14ac:dyDescent="0.35">
      <c r="A84" s="6"/>
      <c r="B84" s="41"/>
      <c r="C84" s="41"/>
      <c r="D84" s="41"/>
      <c r="E84" s="41"/>
      <c r="F84" s="41"/>
      <c r="G84" s="41"/>
      <c r="H84" s="41"/>
      <c r="I84" s="41"/>
      <c r="J84" s="41"/>
      <c r="K84" s="41"/>
      <c r="L84" s="41"/>
      <c r="M84" s="41"/>
      <c r="N84" s="41"/>
      <c r="O84" s="41"/>
      <c r="P84" s="41"/>
      <c r="Q84" s="41"/>
      <c r="R84" s="41"/>
      <c r="S84" s="6"/>
      <c r="T84" s="6"/>
    </row>
    <row r="85" spans="1:20" x14ac:dyDescent="0.35">
      <c r="A85" s="6"/>
      <c r="B85" s="41"/>
      <c r="C85" s="41"/>
      <c r="D85" s="41"/>
      <c r="E85" s="41"/>
      <c r="F85" s="41"/>
      <c r="G85" s="41"/>
      <c r="H85" s="41"/>
      <c r="I85" s="41"/>
      <c r="J85" s="41"/>
      <c r="K85" s="41"/>
      <c r="L85" s="41"/>
      <c r="M85" s="41"/>
      <c r="N85" s="41"/>
      <c r="O85" s="41"/>
      <c r="P85" s="41"/>
      <c r="Q85" s="41"/>
      <c r="R85" s="41"/>
      <c r="S85" s="6"/>
      <c r="T85" s="6"/>
    </row>
    <row r="86" spans="1:20" x14ac:dyDescent="0.35">
      <c r="A86" s="6"/>
      <c r="B86" s="41"/>
      <c r="C86" s="41"/>
      <c r="D86" s="41"/>
      <c r="E86" s="41"/>
      <c r="F86" s="41"/>
      <c r="G86" s="41"/>
      <c r="H86" s="41"/>
      <c r="I86" s="41"/>
      <c r="J86" s="41"/>
      <c r="K86" s="41"/>
      <c r="L86" s="41"/>
      <c r="M86" s="41"/>
      <c r="N86" s="41"/>
      <c r="O86" s="41"/>
      <c r="P86" s="41"/>
      <c r="Q86" s="41"/>
      <c r="R86" s="41"/>
      <c r="S86" s="6"/>
      <c r="T86" s="6"/>
    </row>
    <row r="87" spans="1:20" x14ac:dyDescent="0.35">
      <c r="A87" s="6"/>
      <c r="B87" s="41"/>
      <c r="C87" s="41"/>
      <c r="D87" s="41"/>
      <c r="E87" s="41"/>
      <c r="F87" s="41"/>
      <c r="G87" s="41"/>
      <c r="H87" s="41"/>
      <c r="I87" s="41"/>
      <c r="J87" s="41"/>
      <c r="K87" s="41"/>
      <c r="L87" s="41"/>
      <c r="M87" s="41"/>
      <c r="N87" s="41"/>
      <c r="O87" s="41"/>
      <c r="P87" s="41"/>
      <c r="Q87" s="41"/>
      <c r="R87" s="41"/>
      <c r="S87" s="6"/>
      <c r="T87" s="6"/>
    </row>
    <row r="88" spans="1:20" x14ac:dyDescent="0.35">
      <c r="A88" s="6"/>
      <c r="B88" s="6"/>
      <c r="C88" s="6"/>
      <c r="D88" s="6"/>
      <c r="E88" s="6"/>
      <c r="F88" s="6"/>
      <c r="G88" s="6"/>
      <c r="H88" s="6"/>
      <c r="I88" s="6"/>
      <c r="J88" s="6"/>
      <c r="K88" s="6"/>
      <c r="L88" s="6"/>
      <c r="M88" s="6"/>
      <c r="N88" s="6"/>
      <c r="O88" s="6"/>
      <c r="P88" s="6"/>
      <c r="Q88" s="6"/>
      <c r="R88" s="6"/>
      <c r="S88" s="6"/>
      <c r="T88" s="6"/>
    </row>
    <row r="89" spans="1:20" x14ac:dyDescent="0.35">
      <c r="A89" s="6"/>
      <c r="B89" s="6"/>
      <c r="C89" s="6"/>
      <c r="D89" s="6"/>
      <c r="E89" s="6"/>
      <c r="F89" s="6"/>
      <c r="G89" s="6"/>
      <c r="H89" s="6"/>
      <c r="I89" s="6"/>
      <c r="J89" s="6"/>
      <c r="K89" s="6"/>
      <c r="L89" s="6"/>
      <c r="M89" s="6"/>
      <c r="N89" s="6"/>
      <c r="O89" s="6"/>
      <c r="P89" s="6"/>
      <c r="Q89" s="6"/>
      <c r="R89" s="6"/>
      <c r="S89" s="6"/>
      <c r="T89" s="6"/>
    </row>
    <row r="90" spans="1:20" ht="14.5" hidden="1" customHeight="1" x14ac:dyDescent="0.35">
      <c r="A90" s="6"/>
      <c r="B90" s="6"/>
      <c r="C90" s="6"/>
      <c r="D90" s="6"/>
      <c r="E90" s="6"/>
      <c r="F90" s="6"/>
      <c r="G90" s="6"/>
      <c r="H90" s="6"/>
      <c r="I90" s="6"/>
      <c r="J90" s="6"/>
      <c r="K90" s="6"/>
      <c r="L90" s="6"/>
      <c r="M90" s="6"/>
      <c r="N90" s="6"/>
      <c r="O90" s="6"/>
      <c r="P90" s="6"/>
      <c r="Q90" s="6"/>
      <c r="R90" s="6"/>
      <c r="S90" s="6"/>
      <c r="T90" s="6"/>
    </row>
    <row r="91" spans="1:20" ht="14.5" hidden="1" customHeight="1" x14ac:dyDescent="0.35">
      <c r="A91" s="6"/>
      <c r="B91" s="6"/>
      <c r="C91" s="6"/>
      <c r="D91" s="6"/>
      <c r="E91" s="6"/>
      <c r="F91" s="6"/>
      <c r="G91" s="6"/>
      <c r="H91" s="6"/>
      <c r="I91" s="6"/>
      <c r="J91" s="6"/>
      <c r="K91" s="6"/>
      <c r="L91" s="6"/>
      <c r="M91" s="6"/>
      <c r="N91" s="6"/>
      <c r="O91" s="6"/>
      <c r="P91" s="6"/>
      <c r="Q91" s="6"/>
      <c r="R91" s="6"/>
      <c r="S91" s="6"/>
      <c r="T91" s="6"/>
    </row>
    <row r="92" spans="1:20" ht="14.5" hidden="1" customHeight="1" x14ac:dyDescent="0.35">
      <c r="A92" s="6"/>
      <c r="B92" s="6"/>
      <c r="C92" s="6"/>
      <c r="D92" s="6"/>
      <c r="E92" s="6"/>
      <c r="F92" s="6"/>
      <c r="G92" s="6"/>
      <c r="H92" s="6"/>
      <c r="I92" s="6"/>
      <c r="J92" s="6"/>
      <c r="K92" s="6"/>
      <c r="L92" s="6"/>
      <c r="M92" s="6"/>
      <c r="N92" s="6"/>
      <c r="O92" s="6"/>
      <c r="P92" s="6"/>
      <c r="Q92" s="6"/>
      <c r="R92" s="6"/>
      <c r="S92" s="6"/>
      <c r="T92" s="6"/>
    </row>
    <row r="93" spans="1:20" ht="14.5" hidden="1" customHeight="1" x14ac:dyDescent="0.35">
      <c r="A93" s="6"/>
      <c r="B93" s="6"/>
      <c r="C93" s="6"/>
      <c r="D93" s="6"/>
      <c r="E93" s="6"/>
      <c r="F93" s="6"/>
      <c r="G93" s="6"/>
      <c r="H93" s="6"/>
      <c r="I93" s="6"/>
      <c r="J93" s="6"/>
      <c r="K93" s="6"/>
      <c r="L93" s="6"/>
      <c r="M93" s="6"/>
      <c r="N93" s="6"/>
      <c r="O93" s="6"/>
      <c r="P93" s="6"/>
      <c r="Q93" s="6"/>
      <c r="R93" s="6"/>
      <c r="S93" s="6"/>
      <c r="T93" s="6"/>
    </row>
    <row r="94" spans="1:20" ht="14.5" hidden="1" customHeight="1" x14ac:dyDescent="0.35">
      <c r="A94" s="6"/>
      <c r="B94" s="6"/>
      <c r="C94" s="6"/>
      <c r="D94" s="6"/>
      <c r="E94" s="6"/>
      <c r="F94" s="6"/>
      <c r="G94" s="6"/>
      <c r="H94" s="6"/>
      <c r="I94" s="6"/>
      <c r="J94" s="6"/>
      <c r="K94" s="6"/>
      <c r="L94" s="6"/>
      <c r="M94" s="6"/>
      <c r="N94" s="6"/>
      <c r="O94" s="6"/>
      <c r="P94" s="6"/>
      <c r="Q94" s="6"/>
      <c r="R94" s="6"/>
      <c r="S94" s="6"/>
      <c r="T94" s="6"/>
    </row>
    <row r="95" spans="1:20" ht="14.5" hidden="1" customHeight="1" x14ac:dyDescent="0.35">
      <c r="A95" s="6"/>
      <c r="B95" s="6"/>
      <c r="C95" s="6"/>
      <c r="D95" s="6"/>
      <c r="E95" s="6"/>
      <c r="F95" s="6"/>
      <c r="G95" s="6"/>
      <c r="H95" s="6"/>
      <c r="I95" s="6"/>
      <c r="J95" s="6"/>
      <c r="K95" s="6"/>
      <c r="L95" s="6"/>
      <c r="M95" s="6"/>
      <c r="N95" s="6"/>
      <c r="O95" s="6"/>
      <c r="P95" s="6"/>
      <c r="Q95" s="6"/>
      <c r="R95" s="6"/>
      <c r="S95" s="6"/>
      <c r="T95" s="6"/>
    </row>
    <row r="96" spans="1:20" ht="14.5" hidden="1" customHeight="1" x14ac:dyDescent="0.35">
      <c r="A96" s="6"/>
      <c r="B96" s="6"/>
      <c r="C96" s="6"/>
      <c r="D96" s="6"/>
      <c r="E96" s="6"/>
      <c r="F96" s="6"/>
      <c r="G96" s="6"/>
      <c r="H96" s="6"/>
      <c r="I96" s="6"/>
      <c r="J96" s="6"/>
      <c r="K96" s="6"/>
      <c r="L96" s="6"/>
      <c r="M96" s="6"/>
      <c r="N96" s="6"/>
      <c r="O96" s="6"/>
      <c r="P96" s="6"/>
      <c r="Q96" s="6"/>
      <c r="R96" s="6"/>
      <c r="S96" s="6"/>
      <c r="T96" s="6"/>
    </row>
    <row r="97" spans="1:20" ht="14.5" hidden="1" customHeight="1" x14ac:dyDescent="0.35">
      <c r="A97" s="6"/>
      <c r="B97" s="6"/>
      <c r="C97" s="6"/>
      <c r="D97" s="6"/>
      <c r="E97" s="6"/>
      <c r="F97" s="6"/>
      <c r="G97" s="6"/>
      <c r="H97" s="6"/>
      <c r="I97" s="6"/>
      <c r="J97" s="6"/>
      <c r="K97" s="6"/>
      <c r="L97" s="6"/>
      <c r="M97" s="6"/>
      <c r="N97" s="6"/>
      <c r="O97" s="6"/>
      <c r="P97" s="6"/>
      <c r="Q97" s="6"/>
      <c r="R97" s="6"/>
      <c r="S97" s="6"/>
      <c r="T97" s="6"/>
    </row>
    <row r="98" spans="1:20" ht="14.5" hidden="1" customHeight="1" x14ac:dyDescent="0.35">
      <c r="A98" s="6"/>
      <c r="B98" s="6"/>
      <c r="C98" s="6"/>
      <c r="D98" s="6"/>
      <c r="E98" s="6"/>
      <c r="F98" s="6"/>
      <c r="G98" s="6"/>
      <c r="H98" s="6"/>
      <c r="I98" s="6"/>
      <c r="J98" s="6"/>
      <c r="K98" s="6"/>
      <c r="L98" s="6"/>
      <c r="M98" s="6"/>
      <c r="N98" s="6"/>
      <c r="O98" s="6"/>
      <c r="P98" s="6"/>
      <c r="Q98" s="6"/>
      <c r="R98" s="6"/>
      <c r="S98" s="6"/>
      <c r="T98" s="6"/>
    </row>
    <row r="99" spans="1:20" ht="14.5" hidden="1" customHeight="1" x14ac:dyDescent="0.35">
      <c r="A99" s="6"/>
      <c r="B99" s="6"/>
      <c r="C99" s="6"/>
      <c r="D99" s="6"/>
      <c r="E99" s="6"/>
      <c r="F99" s="6"/>
      <c r="G99" s="6"/>
      <c r="H99" s="6"/>
      <c r="I99" s="6"/>
      <c r="J99" s="6"/>
      <c r="K99" s="6"/>
      <c r="L99" s="6"/>
      <c r="M99" s="6"/>
      <c r="N99" s="6"/>
      <c r="O99" s="6"/>
      <c r="P99" s="6"/>
      <c r="Q99" s="6"/>
      <c r="R99" s="6"/>
      <c r="S99" s="6"/>
      <c r="T99" s="6"/>
    </row>
    <row r="100" spans="1:20" ht="14.5" hidden="1" customHeight="1" x14ac:dyDescent="0.35">
      <c r="A100" s="6"/>
      <c r="B100" s="6"/>
      <c r="C100" s="6"/>
      <c r="D100" s="6"/>
      <c r="E100" s="6"/>
      <c r="F100" s="6"/>
      <c r="G100" s="6"/>
      <c r="H100" s="6"/>
      <c r="I100" s="6"/>
      <c r="J100" s="6"/>
      <c r="K100" s="6"/>
      <c r="L100" s="6"/>
      <c r="M100" s="6"/>
      <c r="N100" s="6"/>
      <c r="O100" s="6"/>
      <c r="P100" s="6"/>
      <c r="Q100" s="6"/>
      <c r="R100" s="6"/>
      <c r="S100" s="6"/>
      <c r="T100" s="6"/>
    </row>
    <row r="101" spans="1:20" hidden="1" x14ac:dyDescent="0.35">
      <c r="A101" s="6"/>
      <c r="B101" s="6"/>
      <c r="C101" s="6"/>
      <c r="D101" s="6"/>
      <c r="E101" s="6"/>
      <c r="F101" s="6"/>
      <c r="G101" s="6"/>
      <c r="H101" s="6"/>
      <c r="I101" s="6"/>
      <c r="J101" s="6"/>
      <c r="K101" s="6"/>
      <c r="L101" s="6"/>
      <c r="M101" s="6"/>
      <c r="N101" s="6"/>
      <c r="O101" s="6"/>
      <c r="P101" s="6"/>
      <c r="Q101" s="6"/>
      <c r="R101" s="6"/>
      <c r="S101" s="6"/>
      <c r="T101" s="6"/>
    </row>
  </sheetData>
  <mergeCells count="14">
    <mergeCell ref="B77:R87"/>
    <mergeCell ref="B76:D76"/>
    <mergeCell ref="B50:D50"/>
    <mergeCell ref="D2:P4"/>
    <mergeCell ref="B11:D11"/>
    <mergeCell ref="B24:D24"/>
    <mergeCell ref="B37:D37"/>
    <mergeCell ref="A7:E9"/>
    <mergeCell ref="B63:D63"/>
    <mergeCell ref="B12:R22"/>
    <mergeCell ref="B25:R35"/>
    <mergeCell ref="B38:R48"/>
    <mergeCell ref="B51:R61"/>
    <mergeCell ref="B64:R74"/>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972FE-40A4-463C-88F4-308A0C3BA37D}">
  <sheetPr codeName="Sheet2">
    <tabColor theme="1" tint="4.9989318521683403E-2"/>
  </sheetPr>
  <dimension ref="A1:T53"/>
  <sheetViews>
    <sheetView topLeftCell="A23" zoomScale="130" zoomScaleNormal="130" workbookViewId="0">
      <selection activeCell="F49" sqref="F49"/>
    </sheetView>
  </sheetViews>
  <sheetFormatPr defaultColWidth="0" defaultRowHeight="14.5" zeroHeight="1" x14ac:dyDescent="0.35"/>
  <cols>
    <col min="1" max="1" width="8.7265625" customWidth="1"/>
    <col min="2" max="2" width="2.6328125" customWidth="1"/>
    <col min="3" max="7" width="8.7265625" customWidth="1"/>
    <col min="8" max="8" width="16.36328125" customWidth="1"/>
    <col min="9" max="12" width="8.7265625" customWidth="1"/>
    <col min="13" max="13" width="9.26953125" customWidth="1"/>
    <col min="14" max="19" width="8.7265625" customWidth="1"/>
    <col min="20" max="20" width="2.6328125" customWidth="1"/>
    <col min="21" max="16384" width="8.7265625" hidden="1"/>
  </cols>
  <sheetData>
    <row r="1" spans="1:20" x14ac:dyDescent="0.35">
      <c r="A1" s="12"/>
      <c r="B1" s="13"/>
      <c r="C1" s="13"/>
      <c r="D1" s="13"/>
      <c r="E1" s="13"/>
      <c r="F1" s="13"/>
      <c r="G1" s="13"/>
      <c r="H1" s="13"/>
      <c r="I1" s="13"/>
      <c r="J1" s="13"/>
      <c r="K1" s="13"/>
      <c r="L1" s="13"/>
      <c r="M1" s="13"/>
      <c r="N1" s="13"/>
      <c r="O1" s="13"/>
      <c r="P1" s="13"/>
      <c r="Q1" s="13"/>
      <c r="R1" s="13"/>
      <c r="S1" s="13"/>
      <c r="T1" s="14"/>
    </row>
    <row r="2" spans="1:20" ht="14.5" customHeight="1" x14ac:dyDescent="0.35">
      <c r="A2" s="15"/>
      <c r="B2" s="6"/>
      <c r="C2" s="47" t="s">
        <v>20</v>
      </c>
      <c r="D2" s="47"/>
      <c r="E2" s="47" t="s">
        <v>81</v>
      </c>
      <c r="F2" s="47"/>
      <c r="G2" s="47"/>
      <c r="H2" s="47"/>
      <c r="I2" s="47" t="s">
        <v>22</v>
      </c>
      <c r="J2" s="47"/>
      <c r="K2" s="48"/>
      <c r="L2" s="48"/>
      <c r="M2" s="47" t="s">
        <v>23</v>
      </c>
      <c r="N2" s="49" t="s">
        <v>82</v>
      </c>
      <c r="O2" s="49"/>
      <c r="P2" s="49"/>
      <c r="Q2" s="49"/>
      <c r="R2" s="49"/>
      <c r="S2" s="6"/>
      <c r="T2" s="16"/>
    </row>
    <row r="3" spans="1:20" x14ac:dyDescent="0.35">
      <c r="A3" s="15"/>
      <c r="B3" s="6"/>
      <c r="C3" s="47"/>
      <c r="D3" s="47"/>
      <c r="E3" s="47"/>
      <c r="F3" s="47"/>
      <c r="G3" s="47"/>
      <c r="H3" s="47"/>
      <c r="I3" s="47"/>
      <c r="J3" s="47"/>
      <c r="K3" s="48"/>
      <c r="L3" s="48"/>
      <c r="M3" s="47"/>
      <c r="N3" s="50" t="s">
        <v>83</v>
      </c>
      <c r="O3" s="49"/>
      <c r="P3" s="49"/>
      <c r="Q3" s="49"/>
      <c r="R3" s="49"/>
      <c r="S3" s="6"/>
      <c r="T3" s="16"/>
    </row>
    <row r="4" spans="1:20" ht="15" thickBot="1" x14ac:dyDescent="0.4">
      <c r="A4" s="15"/>
      <c r="B4" s="6"/>
      <c r="C4" s="6"/>
      <c r="D4" s="6"/>
      <c r="E4" s="6"/>
      <c r="F4" s="6"/>
      <c r="G4" s="6"/>
      <c r="H4" s="6"/>
      <c r="I4" s="6"/>
      <c r="J4" s="6"/>
      <c r="K4" s="6"/>
      <c r="L4" s="6"/>
      <c r="M4" s="6"/>
      <c r="N4" s="6"/>
      <c r="O4" s="6"/>
      <c r="P4" s="6"/>
      <c r="Q4" s="6"/>
      <c r="R4" s="6"/>
      <c r="S4" s="6"/>
      <c r="T4" s="16"/>
    </row>
    <row r="5" spans="1:20" ht="39" customHeight="1" x14ac:dyDescent="0.35">
      <c r="A5" s="15"/>
      <c r="B5" s="6"/>
      <c r="C5" s="52" t="s">
        <v>24</v>
      </c>
      <c r="D5" s="53"/>
      <c r="E5" s="53"/>
      <c r="F5" s="53"/>
      <c r="G5" s="53"/>
      <c r="H5" s="53"/>
      <c r="I5" s="53"/>
      <c r="J5" s="53"/>
      <c r="K5" s="53"/>
      <c r="L5" s="53"/>
      <c r="M5" s="53"/>
      <c r="N5" s="53"/>
      <c r="O5" s="53"/>
      <c r="P5" s="53"/>
      <c r="Q5" s="53"/>
      <c r="R5" s="54"/>
      <c r="S5" s="6"/>
      <c r="T5" s="16"/>
    </row>
    <row r="6" spans="1:20" ht="14.5" customHeight="1" x14ac:dyDescent="0.35">
      <c r="A6" s="15"/>
      <c r="B6" s="6"/>
      <c r="C6" s="55"/>
      <c r="D6" s="56"/>
      <c r="E6" s="56"/>
      <c r="F6" s="56"/>
      <c r="G6" s="56"/>
      <c r="H6" s="56"/>
      <c r="I6" s="56"/>
      <c r="J6" s="56"/>
      <c r="K6" s="56"/>
      <c r="L6" s="56"/>
      <c r="M6" s="56"/>
      <c r="N6" s="56"/>
      <c r="O6" s="56"/>
      <c r="P6" s="56"/>
      <c r="Q6" s="56"/>
      <c r="R6" s="57"/>
      <c r="S6" s="6"/>
      <c r="T6" s="16"/>
    </row>
    <row r="7" spans="1:20" x14ac:dyDescent="0.35">
      <c r="A7" s="15"/>
      <c r="B7" s="6"/>
      <c r="C7" s="55"/>
      <c r="D7" s="56"/>
      <c r="E7" s="56"/>
      <c r="F7" s="56"/>
      <c r="G7" s="56"/>
      <c r="H7" s="56"/>
      <c r="I7" s="56"/>
      <c r="J7" s="56"/>
      <c r="K7" s="56"/>
      <c r="L7" s="56"/>
      <c r="M7" s="56"/>
      <c r="N7" s="56"/>
      <c r="O7" s="56"/>
      <c r="P7" s="56"/>
      <c r="Q7" s="56"/>
      <c r="R7" s="57"/>
      <c r="S7" s="6"/>
      <c r="T7" s="16"/>
    </row>
    <row r="8" spans="1:20" x14ac:dyDescent="0.35">
      <c r="A8" s="15"/>
      <c r="B8" s="6"/>
      <c r="C8" s="55"/>
      <c r="D8" s="56"/>
      <c r="E8" s="56"/>
      <c r="F8" s="56"/>
      <c r="G8" s="56"/>
      <c r="H8" s="56"/>
      <c r="I8" s="56"/>
      <c r="J8" s="56"/>
      <c r="K8" s="56"/>
      <c r="L8" s="56"/>
      <c r="M8" s="56"/>
      <c r="N8" s="56"/>
      <c r="O8" s="56"/>
      <c r="P8" s="56"/>
      <c r="Q8" s="56"/>
      <c r="R8" s="57"/>
      <c r="S8" s="6"/>
      <c r="T8" s="16"/>
    </row>
    <row r="9" spans="1:20" ht="15" thickBot="1" x14ac:dyDescent="0.4">
      <c r="A9" s="15"/>
      <c r="B9" s="6"/>
      <c r="C9" s="58"/>
      <c r="D9" s="59"/>
      <c r="E9" s="59"/>
      <c r="F9" s="59"/>
      <c r="G9" s="59"/>
      <c r="H9" s="59"/>
      <c r="I9" s="59"/>
      <c r="J9" s="59"/>
      <c r="K9" s="59"/>
      <c r="L9" s="59"/>
      <c r="M9" s="59"/>
      <c r="N9" s="59"/>
      <c r="O9" s="59"/>
      <c r="P9" s="59"/>
      <c r="Q9" s="59"/>
      <c r="R9" s="60"/>
      <c r="S9" s="6"/>
      <c r="T9" s="16"/>
    </row>
    <row r="10" spans="1:20" x14ac:dyDescent="0.35">
      <c r="A10" s="15"/>
      <c r="B10" s="8"/>
      <c r="C10" s="8"/>
      <c r="D10" s="8"/>
      <c r="E10" s="8"/>
      <c r="F10" s="8"/>
      <c r="G10" s="8"/>
      <c r="H10" s="8"/>
      <c r="I10" s="8"/>
      <c r="J10" s="8"/>
      <c r="K10" s="8"/>
      <c r="L10" s="8"/>
      <c r="M10" s="8"/>
      <c r="N10" s="8"/>
      <c r="O10" s="8"/>
      <c r="P10" s="8"/>
      <c r="Q10" s="8"/>
      <c r="R10" s="8"/>
      <c r="S10" s="8"/>
      <c r="T10" s="17"/>
    </row>
    <row r="11" spans="1:20" x14ac:dyDescent="0.35">
      <c r="A11" s="15"/>
      <c r="B11" s="9"/>
      <c r="C11" s="51" t="s">
        <v>19</v>
      </c>
      <c r="D11" s="51"/>
      <c r="E11" s="51"/>
      <c r="F11" s="51"/>
      <c r="G11" s="51"/>
      <c r="H11" s="51"/>
      <c r="I11" s="51"/>
      <c r="J11" s="51"/>
      <c r="K11" s="51"/>
      <c r="L11" s="51"/>
      <c r="M11" s="51"/>
      <c r="N11" s="51"/>
      <c r="O11" s="51"/>
      <c r="P11" s="51"/>
      <c r="Q11" s="51"/>
      <c r="R11" s="51"/>
      <c r="S11" s="6"/>
      <c r="T11" s="18"/>
    </row>
    <row r="12" spans="1:20" x14ac:dyDescent="0.35">
      <c r="A12" s="15"/>
      <c r="B12" s="6"/>
      <c r="C12" s="51"/>
      <c r="D12" s="51"/>
      <c r="E12" s="51"/>
      <c r="F12" s="51"/>
      <c r="G12" s="51"/>
      <c r="H12" s="51"/>
      <c r="I12" s="51"/>
      <c r="J12" s="51"/>
      <c r="K12" s="51"/>
      <c r="L12" s="51"/>
      <c r="M12" s="51"/>
      <c r="N12" s="51"/>
      <c r="O12" s="51"/>
      <c r="P12" s="51"/>
      <c r="Q12" s="51"/>
      <c r="R12" s="51"/>
      <c r="S12" s="6"/>
      <c r="T12" s="16"/>
    </row>
    <row r="13" spans="1:20" x14ac:dyDescent="0.35">
      <c r="A13" s="15"/>
      <c r="B13" s="6"/>
      <c r="S13" s="6"/>
      <c r="T13" s="16"/>
    </row>
    <row r="14" spans="1:20" x14ac:dyDescent="0.35">
      <c r="A14" s="15"/>
      <c r="B14" s="6"/>
      <c r="S14" s="6"/>
      <c r="T14" s="16"/>
    </row>
    <row r="15" spans="1:20" x14ac:dyDescent="0.35">
      <c r="A15" s="15"/>
      <c r="B15" s="6"/>
      <c r="S15" s="6"/>
      <c r="T15" s="16"/>
    </row>
    <row r="16" spans="1:20" x14ac:dyDescent="0.35">
      <c r="A16" s="15"/>
      <c r="B16" s="6"/>
      <c r="S16" s="6"/>
      <c r="T16" s="16"/>
    </row>
    <row r="17" spans="1:20" x14ac:dyDescent="0.35">
      <c r="A17" s="15"/>
      <c r="B17" s="6"/>
      <c r="S17" s="6"/>
      <c r="T17" s="16"/>
    </row>
    <row r="18" spans="1:20" x14ac:dyDescent="0.35">
      <c r="A18" s="15"/>
      <c r="B18" s="6"/>
      <c r="S18" s="6"/>
      <c r="T18" s="16"/>
    </row>
    <row r="19" spans="1:20" x14ac:dyDescent="0.35">
      <c r="A19" s="15"/>
      <c r="B19" s="6"/>
      <c r="S19" s="6"/>
      <c r="T19" s="16"/>
    </row>
    <row r="20" spans="1:20" x14ac:dyDescent="0.35">
      <c r="A20" s="15"/>
      <c r="B20" s="6"/>
      <c r="S20" s="6"/>
      <c r="T20" s="16"/>
    </row>
    <row r="21" spans="1:20" x14ac:dyDescent="0.35">
      <c r="A21" s="15"/>
      <c r="B21" s="6"/>
      <c r="S21" s="6"/>
      <c r="T21" s="16"/>
    </row>
    <row r="22" spans="1:20" x14ac:dyDescent="0.35">
      <c r="A22" s="15"/>
      <c r="B22" s="6"/>
      <c r="S22" s="6"/>
      <c r="T22" s="16"/>
    </row>
    <row r="23" spans="1:20" x14ac:dyDescent="0.35">
      <c r="A23" s="15"/>
      <c r="B23" s="6"/>
      <c r="S23" s="6"/>
      <c r="T23" s="16"/>
    </row>
    <row r="24" spans="1:20" x14ac:dyDescent="0.35">
      <c r="A24" s="15"/>
      <c r="B24" s="6"/>
      <c r="S24" s="6"/>
      <c r="T24" s="16"/>
    </row>
    <row r="25" spans="1:20" x14ac:dyDescent="0.35">
      <c r="A25" s="15"/>
      <c r="B25" s="6"/>
      <c r="S25" s="6"/>
      <c r="T25" s="16"/>
    </row>
    <row r="26" spans="1:20" x14ac:dyDescent="0.35">
      <c r="A26" s="15"/>
      <c r="B26" s="6"/>
      <c r="S26" s="6"/>
      <c r="T26" s="16"/>
    </row>
    <row r="27" spans="1:20" x14ac:dyDescent="0.35">
      <c r="A27" s="15"/>
      <c r="B27" s="6"/>
      <c r="S27" s="6"/>
      <c r="T27" s="16"/>
    </row>
    <row r="28" spans="1:20" x14ac:dyDescent="0.35">
      <c r="A28" s="15"/>
      <c r="B28" s="6"/>
      <c r="S28" s="6"/>
      <c r="T28" s="16"/>
    </row>
    <row r="29" spans="1:20" x14ac:dyDescent="0.35">
      <c r="A29" s="15"/>
      <c r="B29" s="6"/>
      <c r="S29" s="6"/>
      <c r="T29" s="16"/>
    </row>
    <row r="30" spans="1:20" x14ac:dyDescent="0.35">
      <c r="A30" s="15"/>
      <c r="B30" s="6"/>
      <c r="S30" s="6"/>
      <c r="T30" s="16"/>
    </row>
    <row r="31" spans="1:20" x14ac:dyDescent="0.35">
      <c r="A31" s="15"/>
      <c r="B31" s="6"/>
      <c r="S31" s="6"/>
      <c r="T31" s="16"/>
    </row>
    <row r="32" spans="1:20" x14ac:dyDescent="0.35">
      <c r="A32" s="15"/>
      <c r="B32" s="6"/>
      <c r="S32" s="6"/>
      <c r="T32" s="16"/>
    </row>
    <row r="33" spans="1:20" x14ac:dyDescent="0.35">
      <c r="A33" s="15"/>
      <c r="B33" s="6"/>
      <c r="S33" s="6"/>
      <c r="T33" s="16"/>
    </row>
    <row r="34" spans="1:20" x14ac:dyDescent="0.35">
      <c r="A34" s="15"/>
      <c r="B34" s="6"/>
      <c r="S34" s="6"/>
      <c r="T34" s="16"/>
    </row>
    <row r="35" spans="1:20" x14ac:dyDescent="0.35">
      <c r="A35" s="15"/>
      <c r="B35" s="6"/>
      <c r="S35" s="6"/>
      <c r="T35" s="16"/>
    </row>
    <row r="36" spans="1:20" x14ac:dyDescent="0.35">
      <c r="A36" s="15"/>
      <c r="B36" s="6"/>
      <c r="C36" s="6"/>
      <c r="D36" s="6"/>
      <c r="E36" s="6"/>
      <c r="F36" s="6"/>
      <c r="G36" s="6"/>
      <c r="H36" s="6"/>
      <c r="I36" s="6"/>
      <c r="J36" s="6"/>
      <c r="K36" s="6"/>
      <c r="L36" s="6"/>
      <c r="M36" s="6"/>
      <c r="N36" s="6"/>
      <c r="O36" s="6"/>
      <c r="P36" s="6"/>
      <c r="Q36" s="6"/>
      <c r="R36" s="6"/>
      <c r="S36" s="6"/>
      <c r="T36" s="16"/>
    </row>
    <row r="37" spans="1:20" x14ac:dyDescent="0.35">
      <c r="A37" s="15"/>
      <c r="B37" s="6"/>
      <c r="C37" s="6"/>
      <c r="D37" s="6"/>
      <c r="E37" s="6"/>
      <c r="F37" s="6"/>
      <c r="G37" s="6"/>
      <c r="H37" s="6"/>
      <c r="I37" s="6"/>
      <c r="J37" s="6"/>
      <c r="K37" s="6"/>
      <c r="L37" s="6"/>
      <c r="M37" s="6"/>
      <c r="N37" s="6"/>
      <c r="O37" s="6"/>
      <c r="P37" s="6"/>
      <c r="Q37" s="6"/>
      <c r="R37" s="6"/>
      <c r="S37" s="6"/>
      <c r="T37" s="16"/>
    </row>
    <row r="38" spans="1:20" x14ac:dyDescent="0.35">
      <c r="A38" s="15"/>
      <c r="B38" s="6"/>
      <c r="C38" s="6"/>
      <c r="D38" s="6"/>
      <c r="E38" s="6"/>
      <c r="F38" s="6"/>
      <c r="G38" s="6"/>
      <c r="H38" s="6"/>
      <c r="I38" s="6"/>
      <c r="J38" s="6"/>
      <c r="K38" s="6"/>
      <c r="L38" s="6"/>
      <c r="M38" s="6"/>
      <c r="N38" s="6"/>
      <c r="O38" s="6"/>
      <c r="P38" s="6"/>
      <c r="Q38" s="6"/>
      <c r="R38" s="6"/>
      <c r="S38" s="6"/>
      <c r="T38" s="16"/>
    </row>
    <row r="39" spans="1:20" x14ac:dyDescent="0.35">
      <c r="A39" s="15"/>
      <c r="B39" s="6"/>
      <c r="C39" s="19" t="s">
        <v>21</v>
      </c>
      <c r="D39" s="6"/>
      <c r="E39" s="6"/>
      <c r="F39" s="6"/>
      <c r="G39" s="6"/>
      <c r="H39" s="6"/>
      <c r="I39" s="6"/>
      <c r="J39" s="6"/>
      <c r="K39" s="6"/>
      <c r="L39" s="6"/>
      <c r="M39" s="6"/>
      <c r="N39" s="6"/>
      <c r="O39" s="6"/>
      <c r="P39" s="6"/>
      <c r="Q39" s="6"/>
      <c r="R39" s="6"/>
      <c r="S39" s="6"/>
      <c r="T39" s="16"/>
    </row>
    <row r="40" spans="1:20" ht="14.5" customHeight="1" x14ac:dyDescent="0.35">
      <c r="A40" s="15"/>
      <c r="B40" s="6"/>
      <c r="C40" s="99" t="s">
        <v>80</v>
      </c>
      <c r="D40" s="99"/>
      <c r="E40" s="99"/>
      <c r="F40" s="99"/>
      <c r="G40" s="99"/>
      <c r="H40" s="99"/>
      <c r="I40" s="99"/>
      <c r="J40" s="99"/>
      <c r="K40" s="99"/>
      <c r="L40" s="99"/>
      <c r="M40" s="99"/>
      <c r="N40" s="99"/>
      <c r="O40" s="99"/>
      <c r="P40" s="99"/>
      <c r="Q40" s="99"/>
      <c r="R40" s="99"/>
      <c r="S40" s="6"/>
      <c r="T40" s="16"/>
    </row>
    <row r="41" spans="1:20" x14ac:dyDescent="0.35">
      <c r="A41" s="15"/>
      <c r="B41" s="6"/>
      <c r="C41" s="99"/>
      <c r="D41" s="99"/>
      <c r="E41" s="99"/>
      <c r="F41" s="99"/>
      <c r="G41" s="99"/>
      <c r="H41" s="99"/>
      <c r="I41" s="99"/>
      <c r="J41" s="99"/>
      <c r="K41" s="99"/>
      <c r="L41" s="99"/>
      <c r="M41" s="99"/>
      <c r="N41" s="99"/>
      <c r="O41" s="99"/>
      <c r="P41" s="99"/>
      <c r="Q41" s="99"/>
      <c r="R41" s="99"/>
      <c r="S41" s="6"/>
      <c r="T41" s="16"/>
    </row>
    <row r="42" spans="1:20" x14ac:dyDescent="0.35">
      <c r="A42" s="15"/>
      <c r="B42" s="6"/>
      <c r="C42" s="99"/>
      <c r="D42" s="99"/>
      <c r="E42" s="99"/>
      <c r="F42" s="99"/>
      <c r="G42" s="99"/>
      <c r="H42" s="99"/>
      <c r="I42" s="99"/>
      <c r="J42" s="99"/>
      <c r="K42" s="99"/>
      <c r="L42" s="99"/>
      <c r="M42" s="99"/>
      <c r="N42" s="99"/>
      <c r="O42" s="99"/>
      <c r="P42" s="99"/>
      <c r="Q42" s="99"/>
      <c r="R42" s="99"/>
      <c r="S42" s="6"/>
      <c r="T42" s="16"/>
    </row>
    <row r="43" spans="1:20" ht="14.5" customHeight="1" x14ac:dyDescent="0.35">
      <c r="A43" s="15"/>
      <c r="B43" s="6"/>
      <c r="C43" s="101" t="s">
        <v>79</v>
      </c>
      <c r="D43" s="101"/>
      <c r="E43" s="101"/>
      <c r="F43" s="101"/>
      <c r="G43" s="101"/>
      <c r="H43" s="101"/>
      <c r="I43" s="101"/>
      <c r="J43" s="101"/>
      <c r="K43" s="101"/>
      <c r="L43" s="101"/>
      <c r="M43" s="101"/>
      <c r="N43" s="101"/>
      <c r="O43" s="101"/>
      <c r="P43" s="101"/>
      <c r="Q43" s="101"/>
      <c r="R43" s="101"/>
      <c r="S43" s="6"/>
      <c r="T43" s="16"/>
    </row>
    <row r="44" spans="1:20" x14ac:dyDescent="0.35">
      <c r="A44" s="15"/>
      <c r="B44" s="6"/>
      <c r="C44" s="101"/>
      <c r="D44" s="101"/>
      <c r="E44" s="101"/>
      <c r="F44" s="101"/>
      <c r="G44" s="101"/>
      <c r="H44" s="101"/>
      <c r="I44" s="101"/>
      <c r="J44" s="101"/>
      <c r="K44" s="101"/>
      <c r="L44" s="101"/>
      <c r="M44" s="101"/>
      <c r="N44" s="101"/>
      <c r="O44" s="101"/>
      <c r="P44" s="101"/>
      <c r="Q44" s="101"/>
      <c r="R44" s="101"/>
      <c r="S44" s="6"/>
      <c r="T44" s="16"/>
    </row>
    <row r="45" spans="1:20" ht="14.5" customHeight="1" x14ac:dyDescent="0.35">
      <c r="A45" s="15"/>
      <c r="B45" s="6"/>
      <c r="C45" s="99" t="s">
        <v>84</v>
      </c>
      <c r="D45" s="99"/>
      <c r="E45" s="99"/>
      <c r="F45" s="99"/>
      <c r="G45" s="99"/>
      <c r="H45" s="99"/>
      <c r="I45" s="99"/>
      <c r="J45" s="99"/>
      <c r="K45" s="99"/>
      <c r="L45" s="99"/>
      <c r="M45" s="99"/>
      <c r="N45" s="99"/>
      <c r="O45" s="99"/>
      <c r="P45" s="99"/>
      <c r="Q45" s="99"/>
      <c r="R45" s="99"/>
      <c r="S45" s="6"/>
      <c r="T45" s="16"/>
    </row>
    <row r="46" spans="1:20" x14ac:dyDescent="0.35">
      <c r="A46" s="15"/>
      <c r="B46" s="6"/>
      <c r="C46" s="99"/>
      <c r="D46" s="99"/>
      <c r="E46" s="99"/>
      <c r="F46" s="99"/>
      <c r="G46" s="99"/>
      <c r="H46" s="99"/>
      <c r="I46" s="99"/>
      <c r="J46" s="99"/>
      <c r="K46" s="99"/>
      <c r="L46" s="99"/>
      <c r="M46" s="99"/>
      <c r="N46" s="99"/>
      <c r="O46" s="99"/>
      <c r="P46" s="99"/>
      <c r="Q46" s="99"/>
      <c r="R46" s="99"/>
      <c r="S46" s="6"/>
      <c r="T46" s="16"/>
    </row>
    <row r="47" spans="1:20" x14ac:dyDescent="0.35">
      <c r="A47" s="15"/>
      <c r="B47" s="6"/>
      <c r="C47" s="99"/>
      <c r="D47" s="99"/>
      <c r="E47" s="99"/>
      <c r="F47" s="99"/>
      <c r="G47" s="99"/>
      <c r="H47" s="99"/>
      <c r="I47" s="99"/>
      <c r="J47" s="99"/>
      <c r="K47" s="99"/>
      <c r="L47" s="99"/>
      <c r="M47" s="99"/>
      <c r="N47" s="99"/>
      <c r="O47" s="99"/>
      <c r="P47" s="99"/>
      <c r="Q47" s="99"/>
      <c r="R47" s="99"/>
      <c r="S47" s="6"/>
      <c r="T47" s="16"/>
    </row>
    <row r="48" spans="1:20" x14ac:dyDescent="0.35">
      <c r="A48" s="15"/>
      <c r="B48" s="6"/>
      <c r="C48" s="100"/>
      <c r="D48" s="100"/>
      <c r="E48" s="100"/>
      <c r="F48" s="100"/>
      <c r="G48" s="100"/>
      <c r="H48" s="100"/>
      <c r="I48" s="100"/>
      <c r="J48" s="100"/>
      <c r="K48" s="100"/>
      <c r="L48" s="100"/>
      <c r="M48" s="100"/>
      <c r="N48" s="100"/>
      <c r="O48" s="100"/>
      <c r="P48" s="100"/>
      <c r="Q48" s="100"/>
      <c r="R48" s="100"/>
      <c r="S48" s="6"/>
      <c r="T48" s="16"/>
    </row>
    <row r="49" spans="1:20" x14ac:dyDescent="0.35">
      <c r="A49" s="15"/>
      <c r="B49" s="6"/>
      <c r="C49" s="100"/>
      <c r="D49" s="100"/>
      <c r="E49" s="100"/>
      <c r="F49" s="100"/>
      <c r="G49" s="100"/>
      <c r="H49" s="100"/>
      <c r="I49" s="100"/>
      <c r="J49" s="100"/>
      <c r="K49" s="100"/>
      <c r="L49" s="100"/>
      <c r="M49" s="100"/>
      <c r="N49" s="100"/>
      <c r="O49" s="100"/>
      <c r="P49" s="100"/>
      <c r="Q49" s="100"/>
      <c r="R49" s="100"/>
      <c r="S49" s="6"/>
      <c r="T49" s="16"/>
    </row>
    <row r="50" spans="1:20" x14ac:dyDescent="0.35">
      <c r="A50" s="15"/>
      <c r="B50" s="6"/>
      <c r="C50" s="100"/>
      <c r="D50" s="100"/>
      <c r="E50" s="100"/>
      <c r="F50" s="100"/>
      <c r="G50" s="100"/>
      <c r="H50" s="100"/>
      <c r="I50" s="100"/>
      <c r="J50" s="100"/>
      <c r="K50" s="100"/>
      <c r="L50" s="100"/>
      <c r="M50" s="100"/>
      <c r="N50" s="100"/>
      <c r="O50" s="100"/>
      <c r="P50" s="100"/>
      <c r="Q50" s="100"/>
      <c r="R50" s="100"/>
      <c r="S50" s="6"/>
      <c r="T50" s="16"/>
    </row>
    <row r="51" spans="1:20" x14ac:dyDescent="0.35">
      <c r="A51" s="15"/>
      <c r="B51" s="6"/>
      <c r="C51" s="6"/>
      <c r="D51" s="6"/>
      <c r="E51" s="6"/>
      <c r="F51" s="6"/>
      <c r="G51" s="6"/>
      <c r="H51" s="6"/>
      <c r="I51" s="6"/>
      <c r="J51" s="6"/>
      <c r="K51" s="6"/>
      <c r="L51" s="6"/>
      <c r="M51" s="6"/>
      <c r="N51" s="6"/>
      <c r="O51" s="6"/>
      <c r="P51" s="6"/>
      <c r="Q51" s="6"/>
      <c r="R51" s="6"/>
      <c r="S51" s="6"/>
      <c r="T51" s="16"/>
    </row>
    <row r="52" spans="1:20" ht="15" thickBot="1" x14ac:dyDescent="0.4">
      <c r="A52" s="20"/>
      <c r="B52" s="21"/>
      <c r="C52" s="21"/>
      <c r="D52" s="21"/>
      <c r="E52" s="21"/>
      <c r="F52" s="21"/>
      <c r="G52" s="21"/>
      <c r="H52" s="21"/>
      <c r="I52" s="21"/>
      <c r="J52" s="21"/>
      <c r="K52" s="21"/>
      <c r="L52" s="21"/>
      <c r="M52" s="21"/>
      <c r="N52" s="21"/>
      <c r="O52" s="21"/>
      <c r="P52" s="21"/>
      <c r="Q52" s="21"/>
      <c r="R52" s="21"/>
      <c r="S52" s="21"/>
      <c r="T52" s="22"/>
    </row>
    <row r="53" spans="1:20" x14ac:dyDescent="0.35"/>
  </sheetData>
  <mergeCells count="12">
    <mergeCell ref="I2:J3"/>
    <mergeCell ref="K2:L3"/>
    <mergeCell ref="M2:M3"/>
    <mergeCell ref="N2:R2"/>
    <mergeCell ref="N3:R3"/>
    <mergeCell ref="E2:H3"/>
    <mergeCell ref="C11:R12"/>
    <mergeCell ref="C5:R9"/>
    <mergeCell ref="C2:D3"/>
    <mergeCell ref="C43:R44"/>
    <mergeCell ref="C45:R47"/>
    <mergeCell ref="C40:R42"/>
  </mergeCells>
  <hyperlinks>
    <hyperlink ref="N3" r:id="rId1" xr:uid="{DC05FF9E-FEB2-49BC-BC2F-48F5E56086EB}"/>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3D9D7-C67E-418A-A1D1-62043CC74FC5}">
  <sheetPr codeName="Sheet3">
    <tabColor rgb="FFFF7C80"/>
  </sheetPr>
  <dimension ref="A1:T65"/>
  <sheetViews>
    <sheetView showGridLines="0" zoomScale="90" zoomScaleNormal="90" workbookViewId="0">
      <selection activeCell="T30" sqref="T30"/>
    </sheetView>
  </sheetViews>
  <sheetFormatPr defaultColWidth="0" defaultRowHeight="14.5" zeroHeight="1" x14ac:dyDescent="0.35"/>
  <cols>
    <col min="1" max="1" width="8.7265625" customWidth="1"/>
    <col min="2" max="2" width="2.6328125" customWidth="1"/>
    <col min="3" max="12" width="8.7265625" customWidth="1"/>
    <col min="13" max="13" width="9.54296875" bestFit="1" customWidth="1"/>
    <col min="14" max="18" width="8.7265625" customWidth="1"/>
    <col min="19" max="19" width="2.6328125" customWidth="1"/>
    <col min="20" max="20" width="8.7265625" customWidth="1"/>
    <col min="21" max="16384" width="8.7265625" hidden="1"/>
  </cols>
  <sheetData>
    <row r="1" spans="1:20" ht="12" customHeight="1" x14ac:dyDescent="0.35">
      <c r="A1" s="6"/>
      <c r="B1" s="6"/>
      <c r="C1" s="6"/>
      <c r="D1" s="6"/>
      <c r="E1" s="6"/>
      <c r="F1" s="6"/>
      <c r="G1" s="6"/>
      <c r="H1" s="6"/>
      <c r="I1" s="6"/>
      <c r="J1" s="6"/>
      <c r="K1" s="6"/>
      <c r="L1" s="6"/>
      <c r="M1" s="6"/>
      <c r="N1" s="6"/>
      <c r="O1" s="6"/>
      <c r="P1" s="6"/>
      <c r="Q1" s="6"/>
      <c r="R1" s="6"/>
      <c r="S1" s="6"/>
      <c r="T1" s="6"/>
    </row>
    <row r="2" spans="1:20" ht="29.5" customHeight="1" x14ac:dyDescent="0.35">
      <c r="A2" s="6"/>
      <c r="B2" s="7"/>
      <c r="C2" s="74" t="s">
        <v>5</v>
      </c>
      <c r="D2" s="74"/>
      <c r="E2" s="74"/>
      <c r="F2" s="74"/>
      <c r="G2" s="74"/>
      <c r="H2" s="74"/>
      <c r="I2" s="74"/>
      <c r="J2" s="74"/>
      <c r="K2" s="74"/>
      <c r="L2" s="74"/>
      <c r="M2" s="74"/>
      <c r="N2" s="74"/>
      <c r="O2" s="74"/>
      <c r="P2" s="74"/>
      <c r="Q2" s="74"/>
      <c r="R2" s="74"/>
      <c r="S2" s="7"/>
      <c r="T2" s="7"/>
    </row>
    <row r="3" spans="1:20" ht="10" customHeight="1" x14ac:dyDescent="0.35">
      <c r="A3" s="6"/>
      <c r="B3" s="6"/>
      <c r="C3" s="6"/>
      <c r="D3" s="6"/>
      <c r="E3" s="6"/>
      <c r="F3" s="6"/>
      <c r="G3" s="6"/>
      <c r="H3" s="6"/>
      <c r="I3" s="6"/>
      <c r="J3" s="6"/>
      <c r="K3" s="6"/>
      <c r="L3" s="6"/>
      <c r="M3" s="6"/>
      <c r="N3" s="6"/>
      <c r="O3" s="6"/>
      <c r="P3" s="6"/>
      <c r="Q3" s="6"/>
      <c r="R3" s="6"/>
      <c r="S3" s="6"/>
      <c r="T3" s="6"/>
    </row>
    <row r="4" spans="1:20" x14ac:dyDescent="0.35">
      <c r="A4" s="6"/>
      <c r="B4" s="6"/>
      <c r="C4" s="41"/>
      <c r="D4" s="41"/>
      <c r="E4" s="41"/>
      <c r="F4" s="41"/>
      <c r="G4" s="41"/>
      <c r="H4" s="41"/>
      <c r="I4" s="41"/>
      <c r="J4" s="41"/>
      <c r="K4" s="41"/>
      <c r="L4" s="41"/>
      <c r="M4" s="41"/>
      <c r="N4" s="41"/>
      <c r="O4" s="41"/>
      <c r="P4" s="41"/>
      <c r="Q4" s="41"/>
      <c r="R4" s="41"/>
      <c r="S4" s="6"/>
      <c r="T4" s="6"/>
    </row>
    <row r="5" spans="1:20" x14ac:dyDescent="0.35">
      <c r="A5" s="6"/>
      <c r="B5" s="6"/>
      <c r="C5" s="41"/>
      <c r="D5" s="41"/>
      <c r="E5" s="41"/>
      <c r="F5" s="41"/>
      <c r="G5" s="41"/>
      <c r="H5" s="41"/>
      <c r="I5" s="41"/>
      <c r="J5" s="41"/>
      <c r="K5" s="41"/>
      <c r="L5" s="41"/>
      <c r="M5" s="41"/>
      <c r="N5" s="41"/>
      <c r="O5" s="41"/>
      <c r="P5" s="41"/>
      <c r="Q5" s="41"/>
      <c r="R5" s="41"/>
      <c r="S5" s="6"/>
      <c r="T5" s="6"/>
    </row>
    <row r="6" spans="1:20" x14ac:dyDescent="0.35">
      <c r="A6" s="6"/>
      <c r="B6" s="6"/>
      <c r="C6" s="41"/>
      <c r="D6" s="41"/>
      <c r="E6" s="41"/>
      <c r="F6" s="41"/>
      <c r="G6" s="41"/>
      <c r="H6" s="41"/>
      <c r="I6" s="41"/>
      <c r="J6" s="41"/>
      <c r="K6" s="41"/>
      <c r="L6" s="41"/>
      <c r="M6" s="41"/>
      <c r="N6" s="41"/>
      <c r="O6" s="41"/>
      <c r="P6" s="41"/>
      <c r="Q6" s="41"/>
      <c r="R6" s="41"/>
      <c r="S6" s="6"/>
      <c r="T6" s="6"/>
    </row>
    <row r="7" spans="1:20" x14ac:dyDescent="0.35">
      <c r="A7" s="6"/>
      <c r="B7" s="6"/>
      <c r="C7" s="41"/>
      <c r="D7" s="41"/>
      <c r="E7" s="41"/>
      <c r="F7" s="41"/>
      <c r="G7" s="41"/>
      <c r="H7" s="41"/>
      <c r="I7" s="41"/>
      <c r="J7" s="41"/>
      <c r="K7" s="41"/>
      <c r="L7" s="41"/>
      <c r="M7" s="41"/>
      <c r="N7" s="41"/>
      <c r="O7" s="41"/>
      <c r="P7" s="41"/>
      <c r="Q7" s="41"/>
      <c r="R7" s="41"/>
      <c r="S7" s="6"/>
      <c r="T7" s="6"/>
    </row>
    <row r="8" spans="1:20" x14ac:dyDescent="0.35">
      <c r="A8" s="6"/>
      <c r="B8" s="6"/>
      <c r="C8" s="41"/>
      <c r="D8" s="41"/>
      <c r="E8" s="41"/>
      <c r="F8" s="41"/>
      <c r="G8" s="41"/>
      <c r="H8" s="41"/>
      <c r="I8" s="41"/>
      <c r="J8" s="41"/>
      <c r="K8" s="41"/>
      <c r="L8" s="41"/>
      <c r="M8" s="41"/>
      <c r="N8" s="41"/>
      <c r="O8" s="41"/>
      <c r="P8" s="41"/>
      <c r="Q8" s="41"/>
      <c r="R8" s="41"/>
      <c r="S8" s="6"/>
      <c r="T8" s="6"/>
    </row>
    <row r="9" spans="1:20" x14ac:dyDescent="0.35">
      <c r="A9" s="6"/>
      <c r="B9" s="6"/>
      <c r="C9" s="41"/>
      <c r="D9" s="41"/>
      <c r="E9" s="41"/>
      <c r="F9" s="41"/>
      <c r="G9" s="41"/>
      <c r="H9" s="41"/>
      <c r="I9" s="41"/>
      <c r="J9" s="41"/>
      <c r="K9" s="41"/>
      <c r="L9" s="41"/>
      <c r="M9" s="41"/>
      <c r="N9" s="41"/>
      <c r="O9" s="41"/>
      <c r="P9" s="41"/>
      <c r="Q9" s="41"/>
      <c r="R9" s="41"/>
      <c r="S9" s="6"/>
      <c r="T9" s="6"/>
    </row>
    <row r="10" spans="1:20" x14ac:dyDescent="0.35">
      <c r="A10" s="6"/>
      <c r="B10" s="6"/>
      <c r="C10" s="41"/>
      <c r="D10" s="41"/>
      <c r="E10" s="41"/>
      <c r="F10" s="41"/>
      <c r="G10" s="41"/>
      <c r="H10" s="41"/>
      <c r="I10" s="41"/>
      <c r="J10" s="41"/>
      <c r="K10" s="41"/>
      <c r="L10" s="41"/>
      <c r="M10" s="41"/>
      <c r="N10" s="41"/>
      <c r="O10" s="41"/>
      <c r="P10" s="41"/>
      <c r="Q10" s="41"/>
      <c r="R10" s="41"/>
      <c r="S10" s="6"/>
      <c r="T10" s="6"/>
    </row>
    <row r="11" spans="1:20" x14ac:dyDescent="0.35">
      <c r="A11" s="6"/>
      <c r="B11" s="6"/>
      <c r="C11" s="41"/>
      <c r="D11" s="41"/>
      <c r="E11" s="41"/>
      <c r="F11" s="41"/>
      <c r="G11" s="41"/>
      <c r="H11" s="41"/>
      <c r="I11" s="41"/>
      <c r="J11" s="41"/>
      <c r="K11" s="41"/>
      <c r="L11" s="41"/>
      <c r="M11" s="41"/>
      <c r="N11" s="41"/>
      <c r="O11" s="41"/>
      <c r="P11" s="41"/>
      <c r="Q11" s="41"/>
      <c r="R11" s="41"/>
      <c r="S11" s="6"/>
      <c r="T11" s="6"/>
    </row>
    <row r="12" spans="1:20" x14ac:dyDescent="0.35">
      <c r="A12" s="6"/>
      <c r="B12" s="6"/>
      <c r="C12" s="41"/>
      <c r="D12" s="41"/>
      <c r="E12" s="41"/>
      <c r="F12" s="41"/>
      <c r="G12" s="41"/>
      <c r="H12" s="41"/>
      <c r="I12" s="41"/>
      <c r="J12" s="41"/>
      <c r="K12" s="41"/>
      <c r="L12" s="41"/>
      <c r="M12" s="41"/>
      <c r="N12" s="41"/>
      <c r="O12" s="41"/>
      <c r="P12" s="41"/>
      <c r="Q12" s="41"/>
      <c r="R12" s="41"/>
      <c r="S12" s="6"/>
      <c r="T12" s="6"/>
    </row>
    <row r="13" spans="1:20" x14ac:dyDescent="0.35">
      <c r="A13" s="6"/>
      <c r="B13" s="6"/>
      <c r="C13" s="41"/>
      <c r="D13" s="41"/>
      <c r="E13" s="41"/>
      <c r="F13" s="41"/>
      <c r="G13" s="41"/>
      <c r="H13" s="41"/>
      <c r="I13" s="41"/>
      <c r="J13" s="41"/>
      <c r="K13" s="41"/>
      <c r="L13" s="41"/>
      <c r="M13" s="41"/>
      <c r="N13" s="41"/>
      <c r="O13" s="41"/>
      <c r="P13" s="41"/>
      <c r="Q13" s="41"/>
      <c r="R13" s="41"/>
      <c r="S13" s="6"/>
      <c r="T13" s="6"/>
    </row>
    <row r="14" spans="1:20" x14ac:dyDescent="0.35">
      <c r="A14" s="6"/>
      <c r="B14" s="6"/>
      <c r="C14" s="41"/>
      <c r="D14" s="41"/>
      <c r="E14" s="41"/>
      <c r="F14" s="41"/>
      <c r="G14" s="41"/>
      <c r="H14" s="41"/>
      <c r="I14" s="41"/>
      <c r="J14" s="41"/>
      <c r="K14" s="41"/>
      <c r="L14" s="41"/>
      <c r="M14" s="41"/>
      <c r="N14" s="41"/>
      <c r="O14" s="41"/>
      <c r="P14" s="41"/>
      <c r="Q14" s="41"/>
      <c r="R14" s="41"/>
      <c r="S14" s="6"/>
      <c r="T14" s="6"/>
    </row>
    <row r="15" spans="1:20" x14ac:dyDescent="0.35">
      <c r="A15" s="6"/>
      <c r="B15" s="6"/>
      <c r="C15" s="41"/>
      <c r="D15" s="41"/>
      <c r="E15" s="41"/>
      <c r="F15" s="41"/>
      <c r="G15" s="41"/>
      <c r="H15" s="41"/>
      <c r="I15" s="41"/>
      <c r="J15" s="41"/>
      <c r="K15" s="41"/>
      <c r="L15" s="41"/>
      <c r="M15" s="41"/>
      <c r="N15" s="41"/>
      <c r="O15" s="41"/>
      <c r="P15" s="41"/>
      <c r="Q15" s="41"/>
      <c r="R15" s="41"/>
      <c r="S15" s="6"/>
      <c r="T15" s="6"/>
    </row>
    <row r="16" spans="1:20" x14ac:dyDescent="0.35">
      <c r="A16" s="6"/>
      <c r="B16" s="6"/>
      <c r="C16" s="41"/>
      <c r="D16" s="41"/>
      <c r="E16" s="41"/>
      <c r="F16" s="41"/>
      <c r="G16" s="41"/>
      <c r="H16" s="41"/>
      <c r="I16" s="41"/>
      <c r="J16" s="41"/>
      <c r="K16" s="41"/>
      <c r="L16" s="41"/>
      <c r="M16" s="41"/>
      <c r="N16" s="41"/>
      <c r="O16" s="41"/>
      <c r="P16" s="41"/>
      <c r="Q16" s="41"/>
      <c r="R16" s="41"/>
      <c r="S16" s="6"/>
      <c r="T16" s="6"/>
    </row>
    <row r="17" spans="1:20" x14ac:dyDescent="0.35">
      <c r="A17" s="6"/>
      <c r="B17" s="6"/>
      <c r="C17" s="41"/>
      <c r="D17" s="41"/>
      <c r="E17" s="41"/>
      <c r="F17" s="41"/>
      <c r="G17" s="41"/>
      <c r="H17" s="41"/>
      <c r="I17" s="41"/>
      <c r="J17" s="41"/>
      <c r="K17" s="41"/>
      <c r="L17" s="41"/>
      <c r="M17" s="41"/>
      <c r="N17" s="41"/>
      <c r="O17" s="41"/>
      <c r="P17" s="41"/>
      <c r="Q17" s="41"/>
      <c r="R17" s="41"/>
      <c r="S17" s="6"/>
      <c r="T17" s="6"/>
    </row>
    <row r="18" spans="1:20" x14ac:dyDescent="0.35">
      <c r="A18" s="6"/>
      <c r="B18" s="6"/>
      <c r="C18" s="41"/>
      <c r="D18" s="41"/>
      <c r="E18" s="41"/>
      <c r="F18" s="41"/>
      <c r="G18" s="41"/>
      <c r="H18" s="41"/>
      <c r="I18" s="41"/>
      <c r="J18" s="41"/>
      <c r="K18" s="41"/>
      <c r="L18" s="41"/>
      <c r="M18" s="41"/>
      <c r="N18" s="41"/>
      <c r="O18" s="41"/>
      <c r="P18" s="41"/>
      <c r="Q18" s="41"/>
      <c r="R18" s="41"/>
      <c r="S18" s="6"/>
      <c r="T18" s="6"/>
    </row>
    <row r="19" spans="1:20" x14ac:dyDescent="0.35">
      <c r="A19" s="6"/>
      <c r="B19" s="6"/>
      <c r="C19" s="41"/>
      <c r="D19" s="41"/>
      <c r="E19" s="41"/>
      <c r="F19" s="41"/>
      <c r="G19" s="41"/>
      <c r="H19" s="41"/>
      <c r="I19" s="41"/>
      <c r="J19" s="41"/>
      <c r="K19" s="41"/>
      <c r="L19" s="41"/>
      <c r="M19" s="41"/>
      <c r="N19" s="41"/>
      <c r="O19" s="41"/>
      <c r="P19" s="41"/>
      <c r="Q19" s="41"/>
      <c r="R19" s="41"/>
      <c r="S19" s="6"/>
      <c r="T19" s="6"/>
    </row>
    <row r="20" spans="1:20" x14ac:dyDescent="0.35">
      <c r="A20" s="6"/>
      <c r="B20" s="8"/>
      <c r="C20" s="41"/>
      <c r="D20" s="41"/>
      <c r="E20" s="41"/>
      <c r="F20" s="41"/>
      <c r="G20" s="41"/>
      <c r="H20" s="41"/>
      <c r="I20" s="41"/>
      <c r="J20" s="41"/>
      <c r="K20" s="41"/>
      <c r="L20" s="41"/>
      <c r="M20" s="41"/>
      <c r="N20" s="41"/>
      <c r="O20" s="41"/>
      <c r="P20" s="41"/>
      <c r="Q20" s="41"/>
      <c r="R20" s="41"/>
      <c r="S20" s="8"/>
      <c r="T20" s="8"/>
    </row>
    <row r="21" spans="1:20" ht="29" customHeight="1" x14ac:dyDescent="0.35">
      <c r="A21" s="6"/>
      <c r="B21" s="9"/>
      <c r="C21" s="78" t="s">
        <v>0</v>
      </c>
      <c r="D21" s="78"/>
      <c r="E21" s="78"/>
      <c r="F21" s="78"/>
      <c r="G21" s="78"/>
      <c r="H21" s="78"/>
      <c r="I21" s="78"/>
      <c r="J21" s="78"/>
      <c r="K21" s="78"/>
      <c r="L21" s="78"/>
      <c r="M21" s="78"/>
      <c r="N21" s="78"/>
      <c r="O21" s="78"/>
      <c r="P21" s="78"/>
      <c r="Q21" s="78"/>
      <c r="R21" s="78"/>
      <c r="S21" s="9"/>
      <c r="T21" s="9"/>
    </row>
    <row r="22" spans="1:20" x14ac:dyDescent="0.35">
      <c r="A22" s="6"/>
      <c r="B22" s="6"/>
      <c r="S22" s="6"/>
      <c r="T22" s="6"/>
    </row>
    <row r="23" spans="1:20" x14ac:dyDescent="0.35">
      <c r="A23" s="6"/>
      <c r="B23" s="6"/>
      <c r="S23" s="6"/>
      <c r="T23" s="6"/>
    </row>
    <row r="24" spans="1:20" ht="15" thickBot="1" x14ac:dyDescent="0.4">
      <c r="A24" s="6"/>
      <c r="B24" s="6"/>
      <c r="C24" s="77" t="s">
        <v>7</v>
      </c>
      <c r="D24" s="77"/>
      <c r="E24" s="77"/>
      <c r="F24" s="77"/>
      <c r="G24" s="77"/>
      <c r="H24" s="77"/>
      <c r="S24" s="6"/>
      <c r="T24" s="6"/>
    </row>
    <row r="25" spans="1:20" ht="15" thickBot="1" x14ac:dyDescent="0.4">
      <c r="A25" s="6"/>
      <c r="B25" s="6"/>
      <c r="D25" s="80" t="s">
        <v>10</v>
      </c>
      <c r="E25" s="80"/>
      <c r="F25" s="80"/>
      <c r="G25" s="80"/>
      <c r="H25" s="80"/>
      <c r="I25" s="80"/>
      <c r="J25" s="80"/>
      <c r="L25" s="75" t="s">
        <v>1</v>
      </c>
      <c r="M25" s="76"/>
      <c r="S25" s="6"/>
      <c r="T25" s="6"/>
    </row>
    <row r="26" spans="1:20" x14ac:dyDescent="0.35">
      <c r="A26" s="6"/>
      <c r="B26" s="6"/>
      <c r="S26" s="6"/>
      <c r="T26" s="6"/>
    </row>
    <row r="27" spans="1:20" ht="15" thickBot="1" x14ac:dyDescent="0.4">
      <c r="A27" s="6"/>
      <c r="B27" s="6"/>
      <c r="S27" s="6"/>
      <c r="T27" s="6"/>
    </row>
    <row r="28" spans="1:20" ht="14.5" customHeight="1" x14ac:dyDescent="0.35">
      <c r="A28" s="6"/>
      <c r="B28" s="6"/>
      <c r="D28" s="79" t="s">
        <v>9</v>
      </c>
      <c r="E28" s="79"/>
      <c r="F28" s="79"/>
      <c r="G28" s="79"/>
      <c r="H28" s="79"/>
      <c r="I28" s="79"/>
      <c r="J28" s="79"/>
      <c r="K28" s="3"/>
      <c r="L28" s="68">
        <v>1</v>
      </c>
      <c r="M28" s="71" t="s">
        <v>15</v>
      </c>
      <c r="S28" s="6"/>
      <c r="T28" s="6"/>
    </row>
    <row r="29" spans="1:20" ht="15" thickBot="1" x14ac:dyDescent="0.4">
      <c r="A29" s="6"/>
      <c r="B29" s="6"/>
      <c r="D29" s="79"/>
      <c r="E29" s="79"/>
      <c r="F29" s="79"/>
      <c r="G29" s="79"/>
      <c r="H29" s="79"/>
      <c r="I29" s="79"/>
      <c r="J29" s="79"/>
      <c r="K29" s="3"/>
      <c r="L29" s="70"/>
      <c r="M29" s="73"/>
      <c r="S29" s="6"/>
      <c r="T29" s="6"/>
    </row>
    <row r="30" spans="1:20" x14ac:dyDescent="0.35">
      <c r="A30" s="6"/>
      <c r="B30" s="6"/>
      <c r="D30" s="5"/>
      <c r="E30" s="5"/>
      <c r="F30" s="5"/>
      <c r="G30" s="5"/>
      <c r="H30" s="5"/>
      <c r="I30" s="5"/>
      <c r="J30" s="5"/>
      <c r="K30" s="3"/>
      <c r="L30" s="10"/>
      <c r="M30" s="1"/>
      <c r="S30" s="6"/>
      <c r="T30" s="6"/>
    </row>
    <row r="31" spans="1:20" ht="15" thickBot="1" x14ac:dyDescent="0.4">
      <c r="A31" s="6"/>
      <c r="B31" s="6"/>
      <c r="D31" s="5"/>
      <c r="E31" s="5"/>
      <c r="F31" s="5"/>
      <c r="G31" s="5"/>
      <c r="H31" s="5"/>
      <c r="I31" s="5"/>
      <c r="J31" s="5"/>
      <c r="K31" s="3"/>
      <c r="L31" s="10"/>
      <c r="M31" s="1"/>
      <c r="S31" s="6"/>
      <c r="T31" s="6"/>
    </row>
    <row r="32" spans="1:20" x14ac:dyDescent="0.35">
      <c r="A32" s="6"/>
      <c r="B32" s="6"/>
      <c r="D32" s="61" t="s">
        <v>14</v>
      </c>
      <c r="E32" s="61"/>
      <c r="F32" s="61"/>
      <c r="G32" s="61"/>
      <c r="H32" s="61"/>
      <c r="I32" s="61"/>
      <c r="J32" s="61"/>
      <c r="L32" s="62">
        <v>0.9</v>
      </c>
      <c r="M32" s="63"/>
      <c r="S32" s="6"/>
      <c r="T32" s="6"/>
    </row>
    <row r="33" spans="1:20" x14ac:dyDescent="0.35">
      <c r="A33" s="6"/>
      <c r="B33" s="6"/>
      <c r="D33" s="61"/>
      <c r="E33" s="61"/>
      <c r="F33" s="61"/>
      <c r="G33" s="61"/>
      <c r="H33" s="61"/>
      <c r="I33" s="61"/>
      <c r="J33" s="61"/>
      <c r="L33" s="64"/>
      <c r="M33" s="65"/>
      <c r="S33" s="6"/>
      <c r="T33" s="6"/>
    </row>
    <row r="34" spans="1:20" ht="15" thickBot="1" x14ac:dyDescent="0.4">
      <c r="A34" s="6"/>
      <c r="B34" s="6"/>
      <c r="D34" s="61"/>
      <c r="E34" s="61"/>
      <c r="F34" s="61"/>
      <c r="G34" s="61"/>
      <c r="H34" s="61"/>
      <c r="I34" s="61"/>
      <c r="J34" s="61"/>
      <c r="L34" s="66"/>
      <c r="M34" s="67"/>
      <c r="S34" s="6"/>
      <c r="T34" s="6"/>
    </row>
    <row r="35" spans="1:20" x14ac:dyDescent="0.35">
      <c r="A35" s="6"/>
      <c r="B35" s="6"/>
      <c r="S35" s="6"/>
      <c r="T35" s="6"/>
    </row>
    <row r="36" spans="1:20" x14ac:dyDescent="0.35">
      <c r="A36" s="6"/>
      <c r="B36" s="6"/>
      <c r="S36" s="6"/>
      <c r="T36" s="6"/>
    </row>
    <row r="37" spans="1:20" x14ac:dyDescent="0.35">
      <c r="A37" s="6"/>
      <c r="B37" s="6"/>
      <c r="S37" s="6"/>
      <c r="T37" s="6"/>
    </row>
    <row r="38" spans="1:20" ht="15" thickBot="1" x14ac:dyDescent="0.4">
      <c r="A38" s="6"/>
      <c r="B38" s="6"/>
      <c r="C38" s="84" t="s">
        <v>11</v>
      </c>
      <c r="D38" s="84"/>
      <c r="E38" s="84"/>
      <c r="F38" s="84"/>
      <c r="G38" s="84"/>
      <c r="H38" s="84"/>
      <c r="S38" s="6"/>
      <c r="T38" s="6"/>
    </row>
    <row r="39" spans="1:20" x14ac:dyDescent="0.35">
      <c r="A39" s="6"/>
      <c r="B39" s="6"/>
      <c r="D39" s="79" t="s">
        <v>12</v>
      </c>
      <c r="E39" s="79"/>
      <c r="F39" s="79"/>
      <c r="G39" s="79"/>
      <c r="H39" s="79"/>
      <c r="I39" s="79"/>
      <c r="J39" s="79"/>
      <c r="L39" s="81" t="s">
        <v>1</v>
      </c>
      <c r="M39" s="71"/>
      <c r="S39" s="6"/>
      <c r="T39" s="6"/>
    </row>
    <row r="40" spans="1:20" ht="15" thickBot="1" x14ac:dyDescent="0.4">
      <c r="A40" s="6"/>
      <c r="B40" s="6"/>
      <c r="D40" s="79"/>
      <c r="E40" s="79"/>
      <c r="F40" s="79"/>
      <c r="G40" s="79"/>
      <c r="H40" s="79"/>
      <c r="I40" s="79"/>
      <c r="J40" s="79"/>
      <c r="L40" s="82"/>
      <c r="M40" s="73"/>
      <c r="S40" s="6"/>
      <c r="T40" s="6"/>
    </row>
    <row r="41" spans="1:20" x14ac:dyDescent="0.35">
      <c r="A41" s="6"/>
      <c r="B41" s="6"/>
      <c r="S41" s="6"/>
      <c r="T41" s="6"/>
    </row>
    <row r="42" spans="1:20" ht="15" thickBot="1" x14ac:dyDescent="0.4">
      <c r="A42" s="6"/>
      <c r="B42" s="6"/>
      <c r="S42" s="6"/>
      <c r="T42" s="6"/>
    </row>
    <row r="43" spans="1:20" x14ac:dyDescent="0.35">
      <c r="A43" s="6"/>
      <c r="B43" s="6"/>
      <c r="H43" t="s">
        <v>2</v>
      </c>
      <c r="L43" s="81" t="s">
        <v>1</v>
      </c>
      <c r="M43" s="71"/>
      <c r="S43" s="6"/>
      <c r="T43" s="6"/>
    </row>
    <row r="44" spans="1:20" ht="15" thickBot="1" x14ac:dyDescent="0.4">
      <c r="A44" s="6"/>
      <c r="B44" s="6"/>
      <c r="L44" s="82"/>
      <c r="M44" s="73"/>
      <c r="S44" s="6"/>
      <c r="T44" s="6"/>
    </row>
    <row r="45" spans="1:20" ht="15" thickBot="1" x14ac:dyDescent="0.4">
      <c r="A45" s="6"/>
      <c r="B45" s="6"/>
      <c r="S45" s="6"/>
      <c r="T45" s="6"/>
    </row>
    <row r="46" spans="1:20" ht="14.5" customHeight="1" x14ac:dyDescent="0.35">
      <c r="A46" s="6"/>
      <c r="B46" s="6"/>
      <c r="H46" s="83" t="s">
        <v>13</v>
      </c>
      <c r="I46" s="83"/>
      <c r="J46" s="83"/>
      <c r="L46" s="68">
        <v>96</v>
      </c>
      <c r="M46" s="71" t="s">
        <v>15</v>
      </c>
      <c r="S46" s="6"/>
      <c r="T46" s="6"/>
    </row>
    <row r="47" spans="1:20" x14ac:dyDescent="0.35">
      <c r="A47" s="6"/>
      <c r="B47" s="6"/>
      <c r="H47" s="83"/>
      <c r="I47" s="83"/>
      <c r="J47" s="83"/>
      <c r="L47" s="69"/>
      <c r="M47" s="72"/>
      <c r="S47" s="6"/>
      <c r="T47" s="6"/>
    </row>
    <row r="48" spans="1:20" ht="15" thickBot="1" x14ac:dyDescent="0.4">
      <c r="A48" s="6"/>
      <c r="B48" s="6"/>
      <c r="H48" s="83"/>
      <c r="I48" s="83"/>
      <c r="J48" s="83"/>
      <c r="L48" s="70"/>
      <c r="M48" s="73"/>
      <c r="S48" s="6"/>
      <c r="T48" s="6"/>
    </row>
    <row r="49" spans="1:20" x14ac:dyDescent="0.35">
      <c r="A49" s="6"/>
      <c r="B49" s="6"/>
      <c r="S49" s="6"/>
      <c r="T49" s="6"/>
    </row>
    <row r="50" spans="1:20" x14ac:dyDescent="0.35">
      <c r="A50" s="6"/>
      <c r="B50" s="6"/>
      <c r="S50" s="6"/>
      <c r="T50" s="6"/>
    </row>
    <row r="51" spans="1:20" ht="15" thickBot="1" x14ac:dyDescent="0.4">
      <c r="A51" s="6"/>
      <c r="B51" s="6"/>
      <c r="S51" s="6"/>
      <c r="T51" s="6"/>
    </row>
    <row r="52" spans="1:20" x14ac:dyDescent="0.35">
      <c r="A52" s="6"/>
      <c r="B52" s="6"/>
      <c r="D52" s="61" t="s">
        <v>3</v>
      </c>
      <c r="E52" s="61"/>
      <c r="F52" s="61"/>
      <c r="G52" s="61"/>
      <c r="H52" s="61"/>
      <c r="I52" s="61"/>
      <c r="J52" s="61"/>
      <c r="L52" s="62">
        <v>0.34</v>
      </c>
      <c r="M52" s="63"/>
      <c r="S52" s="6"/>
      <c r="T52" s="6"/>
    </row>
    <row r="53" spans="1:20" x14ac:dyDescent="0.35">
      <c r="A53" s="6"/>
      <c r="B53" s="6"/>
      <c r="D53" s="61"/>
      <c r="E53" s="61"/>
      <c r="F53" s="61"/>
      <c r="G53" s="61"/>
      <c r="H53" s="61"/>
      <c r="I53" s="61"/>
      <c r="J53" s="61"/>
      <c r="L53" s="64"/>
      <c r="M53" s="65"/>
      <c r="S53" s="6"/>
      <c r="T53" s="6"/>
    </row>
    <row r="54" spans="1:20" ht="15" thickBot="1" x14ac:dyDescent="0.4">
      <c r="A54" s="6"/>
      <c r="B54" s="6"/>
      <c r="D54" s="61"/>
      <c r="E54" s="61"/>
      <c r="F54" s="61"/>
      <c r="G54" s="61"/>
      <c r="H54" s="61"/>
      <c r="I54" s="61"/>
      <c r="J54" s="61"/>
      <c r="L54" s="66"/>
      <c r="M54" s="67"/>
      <c r="S54" s="6"/>
      <c r="T54" s="6"/>
    </row>
    <row r="55" spans="1:20" x14ac:dyDescent="0.35">
      <c r="A55" s="6"/>
      <c r="B55" s="6"/>
      <c r="J55">
        <v>96</v>
      </c>
      <c r="S55" s="6"/>
      <c r="T55" s="6"/>
    </row>
    <row r="56" spans="1:20" x14ac:dyDescent="0.35">
      <c r="A56" s="6"/>
      <c r="B56" s="6"/>
      <c r="S56" s="6"/>
      <c r="T56" s="6"/>
    </row>
    <row r="57" spans="1:20" ht="15" thickBot="1" x14ac:dyDescent="0.4">
      <c r="A57" s="6"/>
      <c r="B57" s="6"/>
      <c r="S57" s="6"/>
      <c r="T57" s="6"/>
    </row>
    <row r="58" spans="1:20" x14ac:dyDescent="0.35">
      <c r="A58" s="6"/>
      <c r="B58" s="6"/>
      <c r="D58" s="61" t="s">
        <v>16</v>
      </c>
      <c r="E58" s="61"/>
      <c r="F58" s="61"/>
      <c r="G58" s="61"/>
      <c r="H58" s="61"/>
      <c r="I58" s="61"/>
      <c r="J58" s="61"/>
      <c r="L58" s="68">
        <v>1</v>
      </c>
      <c r="M58" s="71" t="s">
        <v>15</v>
      </c>
      <c r="S58" s="6"/>
      <c r="T58" s="6"/>
    </row>
    <row r="59" spans="1:20" x14ac:dyDescent="0.35">
      <c r="A59" s="6"/>
      <c r="B59" s="6"/>
      <c r="D59" s="61"/>
      <c r="E59" s="61"/>
      <c r="F59" s="61"/>
      <c r="G59" s="61"/>
      <c r="H59" s="61"/>
      <c r="I59" s="61"/>
      <c r="J59" s="61"/>
      <c r="L59" s="69"/>
      <c r="M59" s="72"/>
      <c r="S59" s="6"/>
      <c r="T59" s="6"/>
    </row>
    <row r="60" spans="1:20" ht="15" thickBot="1" x14ac:dyDescent="0.4">
      <c r="A60" s="6"/>
      <c r="B60" s="6"/>
      <c r="D60" s="61"/>
      <c r="E60" s="61"/>
      <c r="F60" s="61"/>
      <c r="G60" s="61"/>
      <c r="H60" s="61"/>
      <c r="I60" s="61"/>
      <c r="J60" s="61"/>
      <c r="L60" s="70"/>
      <c r="M60" s="73"/>
      <c r="S60" s="6"/>
      <c r="T60" s="6"/>
    </row>
    <row r="61" spans="1:20" x14ac:dyDescent="0.35">
      <c r="A61" s="6"/>
      <c r="B61" s="6"/>
      <c r="S61" s="6"/>
      <c r="T61" s="6"/>
    </row>
    <row r="62" spans="1:20" x14ac:dyDescent="0.35">
      <c r="A62" s="6"/>
      <c r="B62" s="6"/>
      <c r="C62" s="6"/>
      <c r="D62" s="6"/>
      <c r="E62" s="6"/>
      <c r="F62" s="6"/>
      <c r="G62" s="6"/>
      <c r="H62" s="6"/>
      <c r="I62" s="6"/>
      <c r="J62" s="6"/>
      <c r="K62" s="6"/>
      <c r="L62" s="6"/>
      <c r="M62" s="6"/>
      <c r="N62" s="6"/>
      <c r="O62" s="6"/>
      <c r="P62" s="6"/>
      <c r="Q62" s="6"/>
      <c r="R62" s="6"/>
      <c r="S62" s="6"/>
      <c r="T62" s="6"/>
    </row>
    <row r="63" spans="1:20" x14ac:dyDescent="0.35">
      <c r="A63" s="6"/>
      <c r="B63" s="6"/>
      <c r="C63" s="6"/>
      <c r="D63" s="6"/>
      <c r="E63" s="6"/>
      <c r="F63" s="6"/>
      <c r="G63" s="6"/>
      <c r="H63" s="6"/>
      <c r="I63" s="6"/>
      <c r="J63" s="6"/>
      <c r="K63" s="6"/>
      <c r="L63" s="6"/>
      <c r="M63" s="6"/>
      <c r="N63" s="6"/>
      <c r="O63" s="6"/>
      <c r="P63" s="6"/>
      <c r="Q63" s="6"/>
      <c r="R63" s="6"/>
      <c r="S63" s="6"/>
      <c r="T63" s="6"/>
    </row>
    <row r="64" spans="1:20" x14ac:dyDescent="0.35">
      <c r="A64" s="6"/>
      <c r="B64" s="6"/>
      <c r="C64" s="6"/>
      <c r="D64" s="6"/>
      <c r="E64" s="6"/>
      <c r="F64" s="6"/>
      <c r="G64" s="6"/>
      <c r="H64" s="6"/>
      <c r="I64" s="6"/>
      <c r="J64" s="6"/>
      <c r="K64" s="6"/>
      <c r="L64" s="6"/>
      <c r="M64" s="6"/>
      <c r="N64" s="6"/>
      <c r="O64" s="6"/>
      <c r="P64" s="6"/>
      <c r="Q64" s="6"/>
      <c r="R64" s="6"/>
      <c r="S64" s="6"/>
      <c r="T64" s="6"/>
    </row>
    <row r="65" spans="1:20" hidden="1" x14ac:dyDescent="0.35">
      <c r="A65" s="6"/>
      <c r="B65" s="6"/>
      <c r="C65" s="6"/>
      <c r="D65" s="6"/>
      <c r="E65" s="6"/>
      <c r="F65" s="6"/>
      <c r="G65" s="6"/>
      <c r="H65" s="6"/>
      <c r="I65" s="6"/>
      <c r="J65" s="6"/>
      <c r="K65" s="6"/>
      <c r="L65" s="6"/>
      <c r="M65" s="6"/>
      <c r="N65" s="6"/>
      <c r="O65" s="6"/>
      <c r="P65" s="6"/>
      <c r="Q65" s="6"/>
      <c r="R65" s="6"/>
      <c r="S65" s="6"/>
      <c r="T65" s="6"/>
    </row>
  </sheetData>
  <mergeCells count="23">
    <mergeCell ref="L43:M44"/>
    <mergeCell ref="H46:J48"/>
    <mergeCell ref="D32:J34"/>
    <mergeCell ref="L32:M34"/>
    <mergeCell ref="C38:H38"/>
    <mergeCell ref="D39:J40"/>
    <mergeCell ref="L39:M40"/>
    <mergeCell ref="L46:L48"/>
    <mergeCell ref="M46:M48"/>
    <mergeCell ref="C2:R2"/>
    <mergeCell ref="L25:M25"/>
    <mergeCell ref="C24:H24"/>
    <mergeCell ref="L28:L29"/>
    <mergeCell ref="M28:M29"/>
    <mergeCell ref="C21:R21"/>
    <mergeCell ref="D28:J29"/>
    <mergeCell ref="D25:J25"/>
    <mergeCell ref="C4:R20"/>
    <mergeCell ref="D52:J54"/>
    <mergeCell ref="L52:M54"/>
    <mergeCell ref="D58:J60"/>
    <mergeCell ref="L58:L60"/>
    <mergeCell ref="M58:M60"/>
  </mergeCells>
  <conditionalFormatting sqref="L39">
    <cfRule type="containsText" dxfId="29" priority="5" operator="containsText" text="No">
      <formula>NOT(ISERROR(SEARCH("No",L39)))</formula>
    </cfRule>
  </conditionalFormatting>
  <conditionalFormatting sqref="L43 L46:M48 L52 L58:M60">
    <cfRule type="expression" dxfId="28" priority="1">
      <formula>$L$39="No"</formula>
    </cfRule>
  </conditionalFormatting>
  <conditionalFormatting sqref="L28:M29 L32:M34 L39:M40 L43:M44 L46:M48 L52:M54 L58:M60">
    <cfRule type="expression" dxfId="27" priority="6">
      <formula>$L$25="No"</formula>
    </cfRule>
  </conditionalFormatting>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prompt="If power  is not needed for core operations, ignore the remaining responses for this tab (they should be blacked out) and omit this section from the final report. " xr:uid="{EBF1AA74-7565-47F3-AB41-4E666395F79F}">
          <x14:formula1>
            <xm:f>'Formulas_Dont Delete'!$AX$1:$AX$3</xm:f>
          </x14:formula1>
          <xm:sqref>L25:M25</xm:sqref>
        </x14:dataValidation>
        <x14:dataValidation type="list" allowBlank="1" showInputMessage="1" showErrorMessage="1" xr:uid="{3407F4C3-FE99-4D0F-8F85-21DF4B1008FC}">
          <x14:formula1>
            <xm:f>'Formulas_Dont Delete'!$AX$1:$AX$3</xm:f>
          </x14:formula1>
          <xm:sqref>L39:M40 L43:M44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0288C-DE40-4371-86E6-275B03373B93}">
  <sheetPr>
    <tabColor theme="5" tint="0.39997558519241921"/>
  </sheetPr>
  <dimension ref="A1:T62"/>
  <sheetViews>
    <sheetView showGridLines="0" topLeftCell="A18" workbookViewId="0">
      <selection activeCell="Q55" sqref="Q55"/>
    </sheetView>
  </sheetViews>
  <sheetFormatPr defaultColWidth="0" defaultRowHeight="14.5" zeroHeight="1" x14ac:dyDescent="0.35"/>
  <cols>
    <col min="1" max="1" width="8.7265625" customWidth="1"/>
    <col min="2" max="2" width="2.6328125" customWidth="1"/>
    <col min="3" max="12" width="8.7265625" customWidth="1"/>
    <col min="13" max="13" width="9.54296875" bestFit="1" customWidth="1"/>
    <col min="14" max="18" width="8.7265625" customWidth="1"/>
    <col min="19" max="19" width="2.6328125" customWidth="1"/>
    <col min="20" max="20" width="8.7265625" customWidth="1"/>
    <col min="21" max="16384" width="8.7265625" hidden="1"/>
  </cols>
  <sheetData>
    <row r="1" spans="1:20" ht="12" customHeight="1" x14ac:dyDescent="0.35">
      <c r="A1" s="6"/>
      <c r="B1" s="6"/>
      <c r="C1" s="6"/>
      <c r="D1" s="6"/>
      <c r="E1" s="6"/>
      <c r="F1" s="6"/>
      <c r="G1" s="6"/>
      <c r="H1" s="6"/>
      <c r="I1" s="6"/>
      <c r="J1" s="6"/>
      <c r="K1" s="6"/>
      <c r="L1" s="6"/>
      <c r="M1" s="6"/>
      <c r="N1" s="6"/>
      <c r="O1" s="6"/>
      <c r="P1" s="6"/>
      <c r="Q1" s="6"/>
      <c r="R1" s="6"/>
      <c r="S1" s="6"/>
      <c r="T1" s="6"/>
    </row>
    <row r="2" spans="1:20" ht="29.5" customHeight="1" x14ac:dyDescent="0.35">
      <c r="A2" s="6"/>
      <c r="B2" s="7"/>
      <c r="C2" s="74" t="s">
        <v>5</v>
      </c>
      <c r="D2" s="74"/>
      <c r="E2" s="74"/>
      <c r="F2" s="74"/>
      <c r="G2" s="74"/>
      <c r="H2" s="74"/>
      <c r="I2" s="74"/>
      <c r="J2" s="74"/>
      <c r="K2" s="74"/>
      <c r="L2" s="74"/>
      <c r="M2" s="74"/>
      <c r="N2" s="74"/>
      <c r="O2" s="74"/>
      <c r="P2" s="74"/>
      <c r="Q2" s="74"/>
      <c r="R2" s="74"/>
      <c r="S2" s="7"/>
      <c r="T2" s="7"/>
    </row>
    <row r="3" spans="1:20" ht="10" customHeight="1" x14ac:dyDescent="0.35">
      <c r="A3" s="6"/>
      <c r="B3" s="6"/>
      <c r="C3" s="6"/>
      <c r="D3" s="6"/>
      <c r="E3" s="6"/>
      <c r="F3" s="6"/>
      <c r="G3" s="6"/>
      <c r="H3" s="6"/>
      <c r="I3" s="6"/>
      <c r="J3" s="6"/>
      <c r="K3" s="6"/>
      <c r="L3" s="6"/>
      <c r="M3" s="6"/>
      <c r="N3" s="6"/>
      <c r="O3" s="6"/>
      <c r="P3" s="6"/>
      <c r="Q3" s="6"/>
      <c r="R3" s="6"/>
      <c r="S3" s="6"/>
      <c r="T3" s="6"/>
    </row>
    <row r="4" spans="1:20" x14ac:dyDescent="0.35">
      <c r="A4" s="6"/>
      <c r="B4" s="6"/>
      <c r="C4" s="41"/>
      <c r="D4" s="41"/>
      <c r="E4" s="41"/>
      <c r="F4" s="41"/>
      <c r="G4" s="41"/>
      <c r="H4" s="41"/>
      <c r="I4" s="41"/>
      <c r="J4" s="41"/>
      <c r="K4" s="41"/>
      <c r="L4" s="41"/>
      <c r="M4" s="41"/>
      <c r="N4" s="41"/>
      <c r="O4" s="41"/>
      <c r="P4" s="41"/>
      <c r="Q4" s="41"/>
      <c r="R4" s="41"/>
      <c r="S4" s="6"/>
      <c r="T4" s="6"/>
    </row>
    <row r="5" spans="1:20" x14ac:dyDescent="0.35">
      <c r="A5" s="6"/>
      <c r="B5" s="6"/>
      <c r="C5" s="41"/>
      <c r="D5" s="41"/>
      <c r="E5" s="41"/>
      <c r="F5" s="41"/>
      <c r="G5" s="41"/>
      <c r="H5" s="41"/>
      <c r="I5" s="41"/>
      <c r="J5" s="41"/>
      <c r="K5" s="41"/>
      <c r="L5" s="41"/>
      <c r="M5" s="41"/>
      <c r="N5" s="41"/>
      <c r="O5" s="41"/>
      <c r="P5" s="41"/>
      <c r="Q5" s="41"/>
      <c r="R5" s="41"/>
      <c r="S5" s="6"/>
      <c r="T5" s="6"/>
    </row>
    <row r="6" spans="1:20" x14ac:dyDescent="0.35">
      <c r="A6" s="6"/>
      <c r="B6" s="6"/>
      <c r="C6" s="41"/>
      <c r="D6" s="41"/>
      <c r="E6" s="41"/>
      <c r="F6" s="41"/>
      <c r="G6" s="41"/>
      <c r="H6" s="41"/>
      <c r="I6" s="41"/>
      <c r="J6" s="41"/>
      <c r="K6" s="41"/>
      <c r="L6" s="41"/>
      <c r="M6" s="41"/>
      <c r="N6" s="41"/>
      <c r="O6" s="41"/>
      <c r="P6" s="41"/>
      <c r="Q6" s="41"/>
      <c r="R6" s="41"/>
      <c r="S6" s="6"/>
      <c r="T6" s="6"/>
    </row>
    <row r="7" spans="1:20" x14ac:dyDescent="0.35">
      <c r="A7" s="6"/>
      <c r="B7" s="6"/>
      <c r="C7" s="41"/>
      <c r="D7" s="41"/>
      <c r="E7" s="41"/>
      <c r="F7" s="41"/>
      <c r="G7" s="41"/>
      <c r="H7" s="41"/>
      <c r="I7" s="41"/>
      <c r="J7" s="41"/>
      <c r="K7" s="41"/>
      <c r="L7" s="41"/>
      <c r="M7" s="41"/>
      <c r="N7" s="41"/>
      <c r="O7" s="41"/>
      <c r="P7" s="41"/>
      <c r="Q7" s="41"/>
      <c r="R7" s="41"/>
      <c r="S7" s="6"/>
      <c r="T7" s="6"/>
    </row>
    <row r="8" spans="1:20" x14ac:dyDescent="0.35">
      <c r="A8" s="6"/>
      <c r="B8" s="6"/>
      <c r="C8" s="41"/>
      <c r="D8" s="41"/>
      <c r="E8" s="41"/>
      <c r="F8" s="41"/>
      <c r="G8" s="41"/>
      <c r="H8" s="41"/>
      <c r="I8" s="41"/>
      <c r="J8" s="41"/>
      <c r="K8" s="41"/>
      <c r="L8" s="41"/>
      <c r="M8" s="41"/>
      <c r="N8" s="41"/>
      <c r="O8" s="41"/>
      <c r="P8" s="41"/>
      <c r="Q8" s="41"/>
      <c r="R8" s="41"/>
      <c r="S8" s="6"/>
      <c r="T8" s="6"/>
    </row>
    <row r="9" spans="1:20" x14ac:dyDescent="0.35">
      <c r="A9" s="6"/>
      <c r="B9" s="6"/>
      <c r="C9" s="41"/>
      <c r="D9" s="41"/>
      <c r="E9" s="41"/>
      <c r="F9" s="41"/>
      <c r="G9" s="41"/>
      <c r="H9" s="41"/>
      <c r="I9" s="41"/>
      <c r="J9" s="41"/>
      <c r="K9" s="41"/>
      <c r="L9" s="41"/>
      <c r="M9" s="41"/>
      <c r="N9" s="41"/>
      <c r="O9" s="41"/>
      <c r="P9" s="41"/>
      <c r="Q9" s="41"/>
      <c r="R9" s="41"/>
      <c r="S9" s="6"/>
      <c r="T9" s="6"/>
    </row>
    <row r="10" spans="1:20" x14ac:dyDescent="0.35">
      <c r="A10" s="6"/>
      <c r="B10" s="6"/>
      <c r="C10" s="41"/>
      <c r="D10" s="41"/>
      <c r="E10" s="41"/>
      <c r="F10" s="41"/>
      <c r="G10" s="41"/>
      <c r="H10" s="41"/>
      <c r="I10" s="41"/>
      <c r="J10" s="41"/>
      <c r="K10" s="41"/>
      <c r="L10" s="41"/>
      <c r="M10" s="41"/>
      <c r="N10" s="41"/>
      <c r="O10" s="41"/>
      <c r="P10" s="41"/>
      <c r="Q10" s="41"/>
      <c r="R10" s="41"/>
      <c r="S10" s="6"/>
      <c r="T10" s="6"/>
    </row>
    <row r="11" spans="1:20" x14ac:dyDescent="0.35">
      <c r="A11" s="6"/>
      <c r="B11" s="6"/>
      <c r="C11" s="41"/>
      <c r="D11" s="41"/>
      <c r="E11" s="41"/>
      <c r="F11" s="41"/>
      <c r="G11" s="41"/>
      <c r="H11" s="41"/>
      <c r="I11" s="41"/>
      <c r="J11" s="41"/>
      <c r="K11" s="41"/>
      <c r="L11" s="41"/>
      <c r="M11" s="41"/>
      <c r="N11" s="41"/>
      <c r="O11" s="41"/>
      <c r="P11" s="41"/>
      <c r="Q11" s="41"/>
      <c r="R11" s="41"/>
      <c r="S11" s="6"/>
      <c r="T11" s="6"/>
    </row>
    <row r="12" spans="1:20" x14ac:dyDescent="0.35">
      <c r="A12" s="6"/>
      <c r="B12" s="6"/>
      <c r="C12" s="41"/>
      <c r="D12" s="41"/>
      <c r="E12" s="41"/>
      <c r="F12" s="41"/>
      <c r="G12" s="41"/>
      <c r="H12" s="41"/>
      <c r="I12" s="41"/>
      <c r="J12" s="41"/>
      <c r="K12" s="41"/>
      <c r="L12" s="41"/>
      <c r="M12" s="41"/>
      <c r="N12" s="41"/>
      <c r="O12" s="41"/>
      <c r="P12" s="41"/>
      <c r="Q12" s="41"/>
      <c r="R12" s="41"/>
      <c r="S12" s="6"/>
      <c r="T12" s="6"/>
    </row>
    <row r="13" spans="1:20" x14ac:dyDescent="0.35">
      <c r="A13" s="6"/>
      <c r="B13" s="6"/>
      <c r="C13" s="41"/>
      <c r="D13" s="41"/>
      <c r="E13" s="41"/>
      <c r="F13" s="41"/>
      <c r="G13" s="41"/>
      <c r="H13" s="41"/>
      <c r="I13" s="41"/>
      <c r="J13" s="41"/>
      <c r="K13" s="41"/>
      <c r="L13" s="41"/>
      <c r="M13" s="41"/>
      <c r="N13" s="41"/>
      <c r="O13" s="41"/>
      <c r="P13" s="41"/>
      <c r="Q13" s="41"/>
      <c r="R13" s="41"/>
      <c r="S13" s="6"/>
      <c r="T13" s="6"/>
    </row>
    <row r="14" spans="1:20" x14ac:dyDescent="0.35">
      <c r="A14" s="6"/>
      <c r="B14" s="6"/>
      <c r="C14" s="41"/>
      <c r="D14" s="41"/>
      <c r="E14" s="41"/>
      <c r="F14" s="41"/>
      <c r="G14" s="41"/>
      <c r="H14" s="41"/>
      <c r="I14" s="41"/>
      <c r="J14" s="41"/>
      <c r="K14" s="41"/>
      <c r="L14" s="41"/>
      <c r="M14" s="41"/>
      <c r="N14" s="41"/>
      <c r="O14" s="41"/>
      <c r="P14" s="41"/>
      <c r="Q14" s="41"/>
      <c r="R14" s="41"/>
      <c r="S14" s="6"/>
      <c r="T14" s="6"/>
    </row>
    <row r="15" spans="1:20" x14ac:dyDescent="0.35">
      <c r="A15" s="6"/>
      <c r="B15" s="6"/>
      <c r="C15" s="41"/>
      <c r="D15" s="41"/>
      <c r="E15" s="41"/>
      <c r="F15" s="41"/>
      <c r="G15" s="41"/>
      <c r="H15" s="41"/>
      <c r="I15" s="41"/>
      <c r="J15" s="41"/>
      <c r="K15" s="41"/>
      <c r="L15" s="41"/>
      <c r="M15" s="41"/>
      <c r="N15" s="41"/>
      <c r="O15" s="41"/>
      <c r="P15" s="41"/>
      <c r="Q15" s="41"/>
      <c r="R15" s="41"/>
      <c r="S15" s="6"/>
      <c r="T15" s="6"/>
    </row>
    <row r="16" spans="1:20" x14ac:dyDescent="0.35">
      <c r="A16" s="6"/>
      <c r="B16" s="6"/>
      <c r="C16" s="41"/>
      <c r="D16" s="41"/>
      <c r="E16" s="41"/>
      <c r="F16" s="41"/>
      <c r="G16" s="41"/>
      <c r="H16" s="41"/>
      <c r="I16" s="41"/>
      <c r="J16" s="41"/>
      <c r="K16" s="41"/>
      <c r="L16" s="41"/>
      <c r="M16" s="41"/>
      <c r="N16" s="41"/>
      <c r="O16" s="41"/>
      <c r="P16" s="41"/>
      <c r="Q16" s="41"/>
      <c r="R16" s="41"/>
      <c r="S16" s="6"/>
      <c r="T16" s="6"/>
    </row>
    <row r="17" spans="1:20" x14ac:dyDescent="0.35">
      <c r="A17" s="6"/>
      <c r="B17" s="6"/>
      <c r="C17" s="41"/>
      <c r="D17" s="41"/>
      <c r="E17" s="41"/>
      <c r="F17" s="41"/>
      <c r="G17" s="41"/>
      <c r="H17" s="41"/>
      <c r="I17" s="41"/>
      <c r="J17" s="41"/>
      <c r="K17" s="41"/>
      <c r="L17" s="41"/>
      <c r="M17" s="41"/>
      <c r="N17" s="41"/>
      <c r="O17" s="41"/>
      <c r="P17" s="41"/>
      <c r="Q17" s="41"/>
      <c r="R17" s="41"/>
      <c r="S17" s="6"/>
      <c r="T17" s="6"/>
    </row>
    <row r="18" spans="1:20" x14ac:dyDescent="0.35">
      <c r="A18" s="6"/>
      <c r="B18" s="6"/>
      <c r="C18" s="41"/>
      <c r="D18" s="41"/>
      <c r="E18" s="41"/>
      <c r="F18" s="41"/>
      <c r="G18" s="41"/>
      <c r="H18" s="41"/>
      <c r="I18" s="41"/>
      <c r="J18" s="41"/>
      <c r="K18" s="41"/>
      <c r="L18" s="41"/>
      <c r="M18" s="41"/>
      <c r="N18" s="41"/>
      <c r="O18" s="41"/>
      <c r="P18" s="41"/>
      <c r="Q18" s="41"/>
      <c r="R18" s="41"/>
      <c r="S18" s="6"/>
      <c r="T18" s="6"/>
    </row>
    <row r="19" spans="1:20" x14ac:dyDescent="0.35">
      <c r="A19" s="6"/>
      <c r="B19" s="6"/>
      <c r="C19" s="41"/>
      <c r="D19" s="41"/>
      <c r="E19" s="41"/>
      <c r="F19" s="41"/>
      <c r="G19" s="41"/>
      <c r="H19" s="41"/>
      <c r="I19" s="41"/>
      <c r="J19" s="41"/>
      <c r="K19" s="41"/>
      <c r="L19" s="41"/>
      <c r="M19" s="41"/>
      <c r="N19" s="41"/>
      <c r="O19" s="41"/>
      <c r="P19" s="41"/>
      <c r="Q19" s="41"/>
      <c r="R19" s="41"/>
      <c r="S19" s="6"/>
      <c r="T19" s="6"/>
    </row>
    <row r="20" spans="1:20" x14ac:dyDescent="0.35">
      <c r="A20" s="6"/>
      <c r="B20" s="8"/>
      <c r="C20" s="41"/>
      <c r="D20" s="41"/>
      <c r="E20" s="41"/>
      <c r="F20" s="41"/>
      <c r="G20" s="41"/>
      <c r="H20" s="41"/>
      <c r="I20" s="41"/>
      <c r="J20" s="41"/>
      <c r="K20" s="41"/>
      <c r="L20" s="41"/>
      <c r="M20" s="41"/>
      <c r="N20" s="41"/>
      <c r="O20" s="41"/>
      <c r="P20" s="41"/>
      <c r="Q20" s="41"/>
      <c r="R20" s="41"/>
      <c r="S20" s="8"/>
      <c r="T20" s="8"/>
    </row>
    <row r="21" spans="1:20" ht="29" customHeight="1" x14ac:dyDescent="0.35">
      <c r="A21" s="6"/>
      <c r="B21" s="9"/>
      <c r="C21" s="78" t="s">
        <v>38</v>
      </c>
      <c r="D21" s="78"/>
      <c r="E21" s="78"/>
      <c r="F21" s="78"/>
      <c r="G21" s="78"/>
      <c r="H21" s="78"/>
      <c r="I21" s="78"/>
      <c r="J21" s="78"/>
      <c r="K21" s="78"/>
      <c r="L21" s="78"/>
      <c r="M21" s="78"/>
      <c r="N21" s="78"/>
      <c r="O21" s="78"/>
      <c r="P21" s="78"/>
      <c r="Q21" s="78"/>
      <c r="R21" s="78"/>
      <c r="S21" s="9"/>
      <c r="T21" s="9"/>
    </row>
    <row r="22" spans="1:20" x14ac:dyDescent="0.35">
      <c r="A22" s="6"/>
      <c r="B22" s="6"/>
      <c r="S22" s="6"/>
      <c r="T22" s="6"/>
    </row>
    <row r="23" spans="1:20" x14ac:dyDescent="0.35">
      <c r="A23" s="6"/>
      <c r="B23" s="6"/>
      <c r="S23" s="6"/>
      <c r="T23" s="6"/>
    </row>
    <row r="24" spans="1:20" ht="15" thickBot="1" x14ac:dyDescent="0.4">
      <c r="A24" s="6"/>
      <c r="B24" s="6"/>
      <c r="C24" s="77" t="s">
        <v>7</v>
      </c>
      <c r="D24" s="77"/>
      <c r="E24" s="77"/>
      <c r="F24" s="77"/>
      <c r="G24" s="77"/>
      <c r="H24" s="77"/>
      <c r="S24" s="6"/>
      <c r="T24" s="6"/>
    </row>
    <row r="25" spans="1:20" ht="15" thickBot="1" x14ac:dyDescent="0.4">
      <c r="A25" s="6"/>
      <c r="B25" s="6"/>
      <c r="D25" s="80" t="s">
        <v>69</v>
      </c>
      <c r="E25" s="80"/>
      <c r="F25" s="80"/>
      <c r="G25" s="80"/>
      <c r="H25" s="80"/>
      <c r="I25" s="80"/>
      <c r="J25" s="80"/>
      <c r="L25" s="75" t="s">
        <v>1</v>
      </c>
      <c r="M25" s="76"/>
      <c r="S25" s="6"/>
      <c r="T25" s="6"/>
    </row>
    <row r="26" spans="1:20" x14ac:dyDescent="0.35">
      <c r="A26" s="6"/>
      <c r="B26" s="6"/>
      <c r="S26" s="6"/>
      <c r="T26" s="6"/>
    </row>
    <row r="27" spans="1:20" ht="15" thickBot="1" x14ac:dyDescent="0.4">
      <c r="A27" s="6"/>
      <c r="B27" s="6"/>
      <c r="S27" s="6"/>
      <c r="T27" s="6"/>
    </row>
    <row r="28" spans="1:20" ht="14.5" customHeight="1" x14ac:dyDescent="0.35">
      <c r="A28" s="6"/>
      <c r="B28" s="6"/>
      <c r="D28" s="79" t="s">
        <v>42</v>
      </c>
      <c r="E28" s="79"/>
      <c r="F28" s="79"/>
      <c r="G28" s="79"/>
      <c r="H28" s="79"/>
      <c r="I28" s="79"/>
      <c r="J28" s="79"/>
      <c r="K28" s="3"/>
      <c r="L28" s="68">
        <v>1</v>
      </c>
      <c r="M28" s="71" t="s">
        <v>15</v>
      </c>
      <c r="S28" s="6"/>
      <c r="T28" s="6"/>
    </row>
    <row r="29" spans="1:20" ht="15" thickBot="1" x14ac:dyDescent="0.4">
      <c r="A29" s="6"/>
      <c r="B29" s="6"/>
      <c r="D29" s="79"/>
      <c r="E29" s="79"/>
      <c r="F29" s="79"/>
      <c r="G29" s="79"/>
      <c r="H29" s="79"/>
      <c r="I29" s="79"/>
      <c r="J29" s="79"/>
      <c r="K29" s="3"/>
      <c r="L29" s="70"/>
      <c r="M29" s="73"/>
      <c r="S29" s="6"/>
      <c r="T29" s="6"/>
    </row>
    <row r="30" spans="1:20" x14ac:dyDescent="0.35">
      <c r="A30" s="6"/>
      <c r="B30" s="6"/>
      <c r="D30" s="5"/>
      <c r="E30" s="5"/>
      <c r="F30" s="5"/>
      <c r="G30" s="5"/>
      <c r="H30" s="5"/>
      <c r="I30" s="5"/>
      <c r="J30" s="5"/>
      <c r="K30" s="3"/>
      <c r="L30" s="10"/>
      <c r="M30" s="1"/>
      <c r="S30" s="6"/>
      <c r="T30" s="6"/>
    </row>
    <row r="31" spans="1:20" ht="15" thickBot="1" x14ac:dyDescent="0.4">
      <c r="A31" s="6"/>
      <c r="B31" s="6"/>
      <c r="D31" s="5"/>
      <c r="E31" s="5"/>
      <c r="F31" s="5"/>
      <c r="G31" s="5"/>
      <c r="H31" s="5"/>
      <c r="I31" s="5"/>
      <c r="J31" s="5"/>
      <c r="K31" s="3"/>
      <c r="L31" s="10"/>
      <c r="M31" s="1"/>
      <c r="S31" s="6"/>
      <c r="T31" s="6"/>
    </row>
    <row r="32" spans="1:20" x14ac:dyDescent="0.35">
      <c r="A32" s="6"/>
      <c r="B32" s="6"/>
      <c r="D32" s="61" t="s">
        <v>43</v>
      </c>
      <c r="E32" s="61"/>
      <c r="F32" s="61"/>
      <c r="G32" s="61"/>
      <c r="H32" s="61"/>
      <c r="I32" s="61"/>
      <c r="J32" s="61"/>
      <c r="L32" s="62">
        <v>1</v>
      </c>
      <c r="M32" s="63"/>
      <c r="S32" s="6"/>
      <c r="T32" s="6"/>
    </row>
    <row r="33" spans="1:20" x14ac:dyDescent="0.35">
      <c r="A33" s="6"/>
      <c r="B33" s="6"/>
      <c r="D33" s="61"/>
      <c r="E33" s="61"/>
      <c r="F33" s="61"/>
      <c r="G33" s="61"/>
      <c r="H33" s="61"/>
      <c r="I33" s="61"/>
      <c r="J33" s="61"/>
      <c r="L33" s="64"/>
      <c r="M33" s="65"/>
      <c r="S33" s="6"/>
      <c r="T33" s="6"/>
    </row>
    <row r="34" spans="1:20" ht="15" thickBot="1" x14ac:dyDescent="0.4">
      <c r="A34" s="6"/>
      <c r="B34" s="6"/>
      <c r="D34" s="61"/>
      <c r="E34" s="61"/>
      <c r="F34" s="61"/>
      <c r="G34" s="61"/>
      <c r="H34" s="61"/>
      <c r="I34" s="61"/>
      <c r="J34" s="61"/>
      <c r="L34" s="66"/>
      <c r="M34" s="67"/>
      <c r="S34" s="6"/>
      <c r="T34" s="6"/>
    </row>
    <row r="35" spans="1:20" x14ac:dyDescent="0.35">
      <c r="A35" s="6"/>
      <c r="B35" s="6"/>
      <c r="S35" s="6"/>
      <c r="T35" s="6"/>
    </row>
    <row r="36" spans="1:20" x14ac:dyDescent="0.35">
      <c r="A36" s="6"/>
      <c r="B36" s="6"/>
      <c r="S36" s="6"/>
      <c r="T36" s="6"/>
    </row>
    <row r="37" spans="1:20" x14ac:dyDescent="0.35">
      <c r="A37" s="6"/>
      <c r="B37" s="6"/>
      <c r="S37" s="6"/>
      <c r="T37" s="6"/>
    </row>
    <row r="38" spans="1:20" ht="15" thickBot="1" x14ac:dyDescent="0.4">
      <c r="A38" s="6"/>
      <c r="B38" s="6"/>
      <c r="C38" s="84" t="s">
        <v>11</v>
      </c>
      <c r="D38" s="84"/>
      <c r="E38" s="84"/>
      <c r="F38" s="84"/>
      <c r="G38" s="84"/>
      <c r="H38" s="84"/>
      <c r="S38" s="6"/>
      <c r="T38" s="6"/>
    </row>
    <row r="39" spans="1:20" x14ac:dyDescent="0.35">
      <c r="A39" s="6"/>
      <c r="B39" s="6"/>
      <c r="D39" s="79" t="s">
        <v>44</v>
      </c>
      <c r="E39" s="79"/>
      <c r="F39" s="79"/>
      <c r="G39" s="79"/>
      <c r="H39" s="79"/>
      <c r="I39" s="79"/>
      <c r="J39" s="79"/>
      <c r="L39" s="81" t="s">
        <v>8</v>
      </c>
      <c r="M39" s="71"/>
      <c r="S39" s="6"/>
      <c r="T39" s="6"/>
    </row>
    <row r="40" spans="1:20" ht="15" thickBot="1" x14ac:dyDescent="0.4">
      <c r="A40" s="6"/>
      <c r="B40" s="6"/>
      <c r="D40" s="79"/>
      <c r="E40" s="79"/>
      <c r="F40" s="79"/>
      <c r="G40" s="79"/>
      <c r="H40" s="79"/>
      <c r="I40" s="79"/>
      <c r="J40" s="79"/>
      <c r="L40" s="82"/>
      <c r="M40" s="73"/>
      <c r="S40" s="6"/>
      <c r="T40" s="6"/>
    </row>
    <row r="41" spans="1:20" x14ac:dyDescent="0.35">
      <c r="A41" s="6"/>
      <c r="B41" s="6"/>
      <c r="S41" s="6"/>
      <c r="T41" s="6"/>
    </row>
    <row r="42" spans="1:20" ht="15" thickBot="1" x14ac:dyDescent="0.4">
      <c r="A42" s="6"/>
      <c r="B42" s="6"/>
      <c r="S42" s="6"/>
      <c r="T42" s="6"/>
    </row>
    <row r="43" spans="1:20" x14ac:dyDescent="0.35">
      <c r="A43" s="6"/>
      <c r="B43" s="6"/>
      <c r="D43" s="5"/>
      <c r="E43" s="5"/>
      <c r="F43" s="5"/>
      <c r="G43" s="5"/>
      <c r="H43" s="85" t="s">
        <v>73</v>
      </c>
      <c r="I43" s="85"/>
      <c r="J43" s="85"/>
      <c r="L43" s="68">
        <v>0</v>
      </c>
      <c r="M43" s="71" t="s">
        <v>15</v>
      </c>
      <c r="S43" s="6"/>
      <c r="T43" s="6"/>
    </row>
    <row r="44" spans="1:20" x14ac:dyDescent="0.35">
      <c r="A44" s="6"/>
      <c r="B44" s="6"/>
      <c r="D44" s="5"/>
      <c r="E44" s="5"/>
      <c r="F44" s="5"/>
      <c r="G44" s="5"/>
      <c r="H44" s="85"/>
      <c r="I44" s="85"/>
      <c r="J44" s="85"/>
      <c r="L44" s="69"/>
      <c r="M44" s="72"/>
      <c r="S44" s="6"/>
      <c r="T44" s="6"/>
    </row>
    <row r="45" spans="1:20" ht="15" thickBot="1" x14ac:dyDescent="0.4">
      <c r="A45" s="6"/>
      <c r="B45" s="6"/>
      <c r="D45" s="5"/>
      <c r="E45" s="5"/>
      <c r="F45" s="5"/>
      <c r="G45" s="5"/>
      <c r="H45" s="85"/>
      <c r="I45" s="85"/>
      <c r="J45" s="85"/>
      <c r="L45" s="70"/>
      <c r="M45" s="73"/>
      <c r="S45" s="6"/>
      <c r="T45" s="6"/>
    </row>
    <row r="46" spans="1:20" x14ac:dyDescent="0.35">
      <c r="A46" s="6"/>
      <c r="B46" s="6"/>
      <c r="S46" s="6"/>
      <c r="T46" s="6"/>
    </row>
    <row r="47" spans="1:20" x14ac:dyDescent="0.35">
      <c r="A47" s="6"/>
      <c r="B47" s="6"/>
      <c r="S47" s="6"/>
      <c r="T47" s="6"/>
    </row>
    <row r="48" spans="1:20" ht="15" thickBot="1" x14ac:dyDescent="0.4">
      <c r="A48" s="6"/>
      <c r="B48" s="6"/>
      <c r="S48" s="6"/>
      <c r="T48" s="6"/>
    </row>
    <row r="49" spans="1:20" x14ac:dyDescent="0.35">
      <c r="A49" s="6"/>
      <c r="B49" s="6"/>
      <c r="D49" s="61" t="s">
        <v>45</v>
      </c>
      <c r="E49" s="61"/>
      <c r="F49" s="61"/>
      <c r="G49" s="61"/>
      <c r="H49" s="61"/>
      <c r="I49" s="61"/>
      <c r="J49" s="61"/>
      <c r="L49" s="62">
        <v>0</v>
      </c>
      <c r="M49" s="63"/>
      <c r="S49" s="6"/>
      <c r="T49" s="6"/>
    </row>
    <row r="50" spans="1:20" x14ac:dyDescent="0.35">
      <c r="A50" s="6"/>
      <c r="B50" s="6"/>
      <c r="D50" s="61"/>
      <c r="E50" s="61"/>
      <c r="F50" s="61"/>
      <c r="G50" s="61"/>
      <c r="H50" s="61"/>
      <c r="I50" s="61"/>
      <c r="J50" s="61"/>
      <c r="L50" s="64"/>
      <c r="M50" s="65"/>
      <c r="S50" s="6"/>
      <c r="T50" s="6"/>
    </row>
    <row r="51" spans="1:20" ht="15" thickBot="1" x14ac:dyDescent="0.4">
      <c r="A51" s="6"/>
      <c r="B51" s="6"/>
      <c r="D51" s="61"/>
      <c r="E51" s="61"/>
      <c r="F51" s="61"/>
      <c r="G51" s="61"/>
      <c r="H51" s="61"/>
      <c r="I51" s="61"/>
      <c r="J51" s="61"/>
      <c r="L51" s="66"/>
      <c r="M51" s="67"/>
      <c r="S51" s="6"/>
      <c r="T51" s="6"/>
    </row>
    <row r="52" spans="1:20" x14ac:dyDescent="0.35">
      <c r="A52" s="6"/>
      <c r="B52" s="6"/>
      <c r="S52" s="6"/>
      <c r="T52" s="6"/>
    </row>
    <row r="53" spans="1:20" x14ac:dyDescent="0.35">
      <c r="A53" s="6"/>
      <c r="B53" s="6"/>
      <c r="S53" s="6"/>
      <c r="T53" s="6"/>
    </row>
    <row r="54" spans="1:20" ht="15" thickBot="1" x14ac:dyDescent="0.4">
      <c r="A54" s="6"/>
      <c r="B54" s="6"/>
      <c r="S54" s="6"/>
      <c r="T54" s="6"/>
    </row>
    <row r="55" spans="1:20" x14ac:dyDescent="0.35">
      <c r="A55" s="6"/>
      <c r="B55" s="6"/>
      <c r="D55" s="61" t="s">
        <v>16</v>
      </c>
      <c r="E55" s="61"/>
      <c r="F55" s="61"/>
      <c r="G55" s="61"/>
      <c r="H55" s="61"/>
      <c r="I55" s="61"/>
      <c r="J55" s="61"/>
      <c r="L55" s="68">
        <v>1</v>
      </c>
      <c r="M55" s="71" t="s">
        <v>15</v>
      </c>
      <c r="S55" s="6"/>
      <c r="T55" s="6"/>
    </row>
    <row r="56" spans="1:20" x14ac:dyDescent="0.35">
      <c r="A56" s="6"/>
      <c r="B56" s="6"/>
      <c r="D56" s="61"/>
      <c r="E56" s="61"/>
      <c r="F56" s="61"/>
      <c r="G56" s="61"/>
      <c r="H56" s="61"/>
      <c r="I56" s="61"/>
      <c r="J56" s="61"/>
      <c r="L56" s="69"/>
      <c r="M56" s="72"/>
      <c r="S56" s="6"/>
      <c r="T56" s="6"/>
    </row>
    <row r="57" spans="1:20" ht="15" thickBot="1" x14ac:dyDescent="0.4">
      <c r="A57" s="6"/>
      <c r="B57" s="6"/>
      <c r="D57" s="61"/>
      <c r="E57" s="61"/>
      <c r="F57" s="61"/>
      <c r="G57" s="61"/>
      <c r="H57" s="61"/>
      <c r="I57" s="61"/>
      <c r="J57" s="61"/>
      <c r="L57" s="70"/>
      <c r="M57" s="73"/>
      <c r="S57" s="6"/>
      <c r="T57" s="6"/>
    </row>
    <row r="58" spans="1:20" x14ac:dyDescent="0.35">
      <c r="A58" s="6"/>
      <c r="B58" s="6"/>
      <c r="S58" s="6"/>
      <c r="T58" s="6"/>
    </row>
    <row r="59" spans="1:20" x14ac:dyDescent="0.35">
      <c r="A59" s="6"/>
      <c r="B59" s="6"/>
      <c r="C59" s="6"/>
      <c r="D59" s="6"/>
      <c r="E59" s="6"/>
      <c r="F59" s="6"/>
      <c r="G59" s="6"/>
      <c r="H59" s="6"/>
      <c r="I59" s="6"/>
      <c r="J59" s="6"/>
      <c r="K59" s="6"/>
      <c r="L59" s="6"/>
      <c r="M59" s="6"/>
      <c r="N59" s="6"/>
      <c r="O59" s="6"/>
      <c r="P59" s="6"/>
      <c r="Q59" s="6"/>
      <c r="R59" s="6"/>
      <c r="S59" s="6"/>
      <c r="T59" s="6"/>
    </row>
    <row r="60" spans="1:20" x14ac:dyDescent="0.35">
      <c r="A60" s="6"/>
      <c r="B60" s="6"/>
      <c r="C60" s="6"/>
      <c r="D60" s="6"/>
      <c r="E60" s="6"/>
      <c r="F60" s="6"/>
      <c r="G60" s="6"/>
      <c r="H60" s="6"/>
      <c r="I60" s="6"/>
      <c r="J60" s="6"/>
      <c r="K60" s="6"/>
      <c r="L60" s="6"/>
      <c r="M60" s="6"/>
      <c r="N60" s="6"/>
      <c r="O60" s="6"/>
      <c r="P60" s="6"/>
      <c r="Q60" s="6"/>
      <c r="R60" s="6"/>
      <c r="S60" s="6"/>
      <c r="T60" s="6"/>
    </row>
    <row r="61" spans="1:20" x14ac:dyDescent="0.35">
      <c r="A61" s="6"/>
      <c r="B61" s="6"/>
      <c r="C61" s="6"/>
      <c r="D61" s="6"/>
      <c r="E61" s="6"/>
      <c r="F61" s="6"/>
      <c r="G61" s="6"/>
      <c r="H61" s="6"/>
      <c r="I61" s="6"/>
      <c r="J61" s="6"/>
      <c r="K61" s="6"/>
      <c r="L61" s="6"/>
      <c r="M61" s="6"/>
      <c r="N61" s="6"/>
      <c r="O61" s="6"/>
      <c r="P61" s="6"/>
      <c r="Q61" s="6"/>
      <c r="R61" s="6"/>
      <c r="S61" s="6"/>
      <c r="T61" s="6"/>
    </row>
    <row r="62" spans="1:20" hidden="1" x14ac:dyDescent="0.35">
      <c r="A62" s="6"/>
      <c r="B62" s="6"/>
      <c r="C62" s="6"/>
      <c r="D62" s="6"/>
      <c r="E62" s="6"/>
      <c r="F62" s="6"/>
      <c r="G62" s="6"/>
      <c r="H62" s="6"/>
      <c r="I62" s="6"/>
      <c r="J62" s="6"/>
      <c r="K62" s="6"/>
      <c r="L62" s="6"/>
      <c r="M62" s="6"/>
      <c r="N62" s="6"/>
      <c r="O62" s="6"/>
      <c r="P62" s="6"/>
      <c r="Q62" s="6"/>
      <c r="R62" s="6"/>
      <c r="S62" s="6"/>
      <c r="T62" s="6"/>
    </row>
  </sheetData>
  <mergeCells count="22">
    <mergeCell ref="D55:J57"/>
    <mergeCell ref="L55:L57"/>
    <mergeCell ref="M55:M57"/>
    <mergeCell ref="D32:J34"/>
    <mergeCell ref="L32:M34"/>
    <mergeCell ref="C38:H38"/>
    <mergeCell ref="D39:J40"/>
    <mergeCell ref="L39:M40"/>
    <mergeCell ref="D49:J51"/>
    <mergeCell ref="L49:M51"/>
    <mergeCell ref="H43:J45"/>
    <mergeCell ref="L43:L45"/>
    <mergeCell ref="M43:M45"/>
    <mergeCell ref="D28:J29"/>
    <mergeCell ref="L28:L29"/>
    <mergeCell ref="M28:M29"/>
    <mergeCell ref="C4:R20"/>
    <mergeCell ref="C2:R2"/>
    <mergeCell ref="C21:R21"/>
    <mergeCell ref="C24:H24"/>
    <mergeCell ref="D25:J25"/>
    <mergeCell ref="L25:M25"/>
  </mergeCells>
  <conditionalFormatting sqref="L25 L39">
    <cfRule type="containsText" dxfId="26" priority="2" operator="containsText" text="No">
      <formula>NOT(ISERROR(SEARCH("No",L25)))</formula>
    </cfRule>
  </conditionalFormatting>
  <conditionalFormatting sqref="L28:M29 L32:M34 L39:M40 L49:M51 L55:M57">
    <cfRule type="expression" dxfId="25" priority="3">
      <formula>$L$25="No"</formula>
    </cfRule>
  </conditionalFormatting>
  <conditionalFormatting sqref="M43 L43:M45 L49">
    <cfRule type="expression" dxfId="24" priority="1">
      <formula>$L$39="No"</formula>
    </cfRule>
  </conditionalFormatting>
  <dataValidations count="2">
    <dataValidation allowBlank="1" showInputMessage="1" showErrorMessage="1" prompt="This question captures the impact of the worst-case scenario: the fact that the facility loses communications provided by an external supplier and is unable to operate its backup." sqref="D28:J29 D32:J34" xr:uid="{9C513155-8302-4990-98B2-4901DE3585B9}"/>
    <dataValidation allowBlank="1" showInputMessage="1" showErrorMessage="1" prompt="Backup communications should be a different mode than the primary mode.  The capability to operate manually is another example of alternate to the loss of communications." sqref="D39:J40" xr:uid="{F2CCED3D-84DB-4A41-A16D-251C8218D757}"/>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prompt="If communication is not needed for core operations, ignore the remaining responses for this tab (they should be blacked out) and omit this section from the final report. " xr:uid="{078B0CE3-A829-477F-9530-8114C321CACD}">
          <x14:formula1>
            <xm:f>'Formulas_Dont Delete'!$AX$1:$AX$3</xm:f>
          </x14:formula1>
          <xm:sqref>L25:M25</xm:sqref>
        </x14:dataValidation>
        <x14:dataValidation type="list" allowBlank="1" showInputMessage="1" showErrorMessage="1" xr:uid="{0FC0D49F-093F-4879-ADB8-364C278C799F}">
          <x14:formula1>
            <xm:f>'Formulas_Dont Delete'!$AX$1:$AX$3</xm:f>
          </x14:formula1>
          <xm:sqref>L39:M40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259DB-79BB-46B9-A1B4-1CD261D42CB2}">
  <sheetPr>
    <tabColor theme="7" tint="0.39997558519241921"/>
  </sheetPr>
  <dimension ref="A1:T62"/>
  <sheetViews>
    <sheetView showGridLines="0" topLeftCell="A3" workbookViewId="0">
      <selection activeCell="N43" sqref="N43"/>
    </sheetView>
  </sheetViews>
  <sheetFormatPr defaultColWidth="0" defaultRowHeight="14.5" x14ac:dyDescent="0.35"/>
  <cols>
    <col min="1" max="1" width="8.7265625" customWidth="1"/>
    <col min="2" max="2" width="2.6328125" customWidth="1"/>
    <col min="3" max="12" width="8.7265625" customWidth="1"/>
    <col min="13" max="13" width="9.54296875" bestFit="1" customWidth="1"/>
    <col min="14" max="18" width="8.7265625" customWidth="1"/>
    <col min="19" max="19" width="2.6328125" customWidth="1"/>
    <col min="20" max="20" width="8.7265625" customWidth="1"/>
    <col min="21" max="16384" width="8.7265625" hidden="1"/>
  </cols>
  <sheetData>
    <row r="1" spans="1:20" ht="12" customHeight="1" x14ac:dyDescent="0.35">
      <c r="A1" s="6"/>
      <c r="B1" s="6"/>
      <c r="C1" s="6"/>
      <c r="D1" s="6"/>
      <c r="E1" s="6"/>
      <c r="F1" s="6"/>
      <c r="G1" s="6"/>
      <c r="H1" s="6"/>
      <c r="I1" s="6"/>
      <c r="J1" s="6"/>
      <c r="K1" s="6"/>
      <c r="L1" s="6"/>
      <c r="M1" s="6"/>
      <c r="N1" s="6"/>
      <c r="O1" s="6"/>
      <c r="P1" s="6"/>
      <c r="Q1" s="6"/>
      <c r="R1" s="6"/>
      <c r="S1" s="6"/>
      <c r="T1" s="6"/>
    </row>
    <row r="2" spans="1:20" ht="29.5" customHeight="1" x14ac:dyDescent="0.35">
      <c r="A2" s="6"/>
      <c r="B2" s="7"/>
      <c r="C2" s="74" t="s">
        <v>5</v>
      </c>
      <c r="D2" s="74"/>
      <c r="E2" s="74"/>
      <c r="F2" s="74"/>
      <c r="G2" s="74"/>
      <c r="H2" s="74"/>
      <c r="I2" s="74"/>
      <c r="J2" s="74"/>
      <c r="K2" s="74"/>
      <c r="L2" s="74"/>
      <c r="M2" s="74"/>
      <c r="N2" s="74"/>
      <c r="O2" s="74"/>
      <c r="P2" s="74"/>
      <c r="Q2" s="74"/>
      <c r="R2" s="74"/>
      <c r="S2" s="7"/>
      <c r="T2" s="7"/>
    </row>
    <row r="3" spans="1:20" ht="10" customHeight="1" x14ac:dyDescent="0.35">
      <c r="A3" s="6"/>
      <c r="B3" s="6"/>
      <c r="C3" s="6"/>
      <c r="D3" s="6"/>
      <c r="E3" s="6"/>
      <c r="F3" s="6"/>
      <c r="G3" s="6"/>
      <c r="H3" s="6"/>
      <c r="I3" s="6"/>
      <c r="J3" s="6"/>
      <c r="K3" s="6"/>
      <c r="L3" s="6"/>
      <c r="M3" s="6"/>
      <c r="N3" s="6"/>
      <c r="O3" s="6"/>
      <c r="P3" s="6"/>
      <c r="Q3" s="6"/>
      <c r="R3" s="6"/>
      <c r="S3" s="6"/>
      <c r="T3" s="6"/>
    </row>
    <row r="4" spans="1:20" x14ac:dyDescent="0.35">
      <c r="A4" s="6"/>
      <c r="B4" s="6"/>
      <c r="C4" s="41"/>
      <c r="D4" s="41"/>
      <c r="E4" s="41"/>
      <c r="F4" s="41"/>
      <c r="G4" s="41"/>
      <c r="H4" s="41"/>
      <c r="I4" s="41"/>
      <c r="J4" s="41"/>
      <c r="K4" s="41"/>
      <c r="L4" s="41"/>
      <c r="M4" s="41"/>
      <c r="N4" s="41"/>
      <c r="O4" s="41"/>
      <c r="P4" s="41"/>
      <c r="Q4" s="41"/>
      <c r="R4" s="41"/>
      <c r="S4" s="6"/>
      <c r="T4" s="6"/>
    </row>
    <row r="5" spans="1:20" x14ac:dyDescent="0.35">
      <c r="A5" s="6"/>
      <c r="B5" s="6"/>
      <c r="C5" s="41"/>
      <c r="D5" s="41"/>
      <c r="E5" s="41"/>
      <c r="F5" s="41"/>
      <c r="G5" s="41"/>
      <c r="H5" s="41"/>
      <c r="I5" s="41"/>
      <c r="J5" s="41"/>
      <c r="K5" s="41"/>
      <c r="L5" s="41"/>
      <c r="M5" s="41"/>
      <c r="N5" s="41"/>
      <c r="O5" s="41"/>
      <c r="P5" s="41"/>
      <c r="Q5" s="41"/>
      <c r="R5" s="41"/>
      <c r="S5" s="6"/>
      <c r="T5" s="6"/>
    </row>
    <row r="6" spans="1:20" x14ac:dyDescent="0.35">
      <c r="A6" s="6"/>
      <c r="B6" s="6"/>
      <c r="C6" s="41"/>
      <c r="D6" s="41"/>
      <c r="E6" s="41"/>
      <c r="F6" s="41"/>
      <c r="G6" s="41"/>
      <c r="H6" s="41"/>
      <c r="I6" s="41"/>
      <c r="J6" s="41"/>
      <c r="K6" s="41"/>
      <c r="L6" s="41"/>
      <c r="M6" s="41"/>
      <c r="N6" s="41"/>
      <c r="O6" s="41"/>
      <c r="P6" s="41"/>
      <c r="Q6" s="41"/>
      <c r="R6" s="41"/>
      <c r="S6" s="6"/>
      <c r="T6" s="6"/>
    </row>
    <row r="7" spans="1:20" x14ac:dyDescent="0.35">
      <c r="A7" s="6"/>
      <c r="B7" s="6"/>
      <c r="C7" s="41"/>
      <c r="D7" s="41"/>
      <c r="E7" s="41"/>
      <c r="F7" s="41"/>
      <c r="G7" s="41"/>
      <c r="H7" s="41"/>
      <c r="I7" s="41"/>
      <c r="J7" s="41"/>
      <c r="K7" s="41"/>
      <c r="L7" s="41"/>
      <c r="M7" s="41"/>
      <c r="N7" s="41"/>
      <c r="O7" s="41"/>
      <c r="P7" s="41"/>
      <c r="Q7" s="41"/>
      <c r="R7" s="41"/>
      <c r="S7" s="6"/>
      <c r="T7" s="6"/>
    </row>
    <row r="8" spans="1:20" x14ac:dyDescent="0.35">
      <c r="A8" s="6"/>
      <c r="B8" s="6"/>
      <c r="C8" s="41"/>
      <c r="D8" s="41"/>
      <c r="E8" s="41"/>
      <c r="F8" s="41"/>
      <c r="G8" s="41"/>
      <c r="H8" s="41"/>
      <c r="I8" s="41"/>
      <c r="J8" s="41"/>
      <c r="K8" s="41"/>
      <c r="L8" s="41"/>
      <c r="M8" s="41"/>
      <c r="N8" s="41"/>
      <c r="O8" s="41"/>
      <c r="P8" s="41"/>
      <c r="Q8" s="41"/>
      <c r="R8" s="41"/>
      <c r="S8" s="6"/>
      <c r="T8" s="6"/>
    </row>
    <row r="9" spans="1:20" x14ac:dyDescent="0.35">
      <c r="A9" s="6"/>
      <c r="B9" s="6"/>
      <c r="C9" s="41"/>
      <c r="D9" s="41"/>
      <c r="E9" s="41"/>
      <c r="F9" s="41"/>
      <c r="G9" s="41"/>
      <c r="H9" s="41"/>
      <c r="I9" s="41"/>
      <c r="J9" s="41"/>
      <c r="K9" s="41"/>
      <c r="L9" s="41"/>
      <c r="M9" s="41"/>
      <c r="N9" s="41"/>
      <c r="O9" s="41"/>
      <c r="P9" s="41"/>
      <c r="Q9" s="41"/>
      <c r="R9" s="41"/>
      <c r="S9" s="6"/>
      <c r="T9" s="6"/>
    </row>
    <row r="10" spans="1:20" x14ac:dyDescent="0.35">
      <c r="A10" s="6"/>
      <c r="B10" s="6"/>
      <c r="C10" s="41"/>
      <c r="D10" s="41"/>
      <c r="E10" s="41"/>
      <c r="F10" s="41"/>
      <c r="G10" s="41"/>
      <c r="H10" s="41"/>
      <c r="I10" s="41"/>
      <c r="J10" s="41"/>
      <c r="K10" s="41"/>
      <c r="L10" s="41"/>
      <c r="M10" s="41"/>
      <c r="N10" s="41"/>
      <c r="O10" s="41"/>
      <c r="P10" s="41"/>
      <c r="Q10" s="41"/>
      <c r="R10" s="41"/>
      <c r="S10" s="6"/>
      <c r="T10" s="6"/>
    </row>
    <row r="11" spans="1:20" x14ac:dyDescent="0.35">
      <c r="A11" s="6"/>
      <c r="B11" s="6"/>
      <c r="C11" s="41"/>
      <c r="D11" s="41"/>
      <c r="E11" s="41"/>
      <c r="F11" s="41"/>
      <c r="G11" s="41"/>
      <c r="H11" s="41"/>
      <c r="I11" s="41"/>
      <c r="J11" s="41"/>
      <c r="K11" s="41"/>
      <c r="L11" s="41"/>
      <c r="M11" s="41"/>
      <c r="N11" s="41"/>
      <c r="O11" s="41"/>
      <c r="P11" s="41"/>
      <c r="Q11" s="41"/>
      <c r="R11" s="41"/>
      <c r="S11" s="6"/>
      <c r="T11" s="6"/>
    </row>
    <row r="12" spans="1:20" x14ac:dyDescent="0.35">
      <c r="A12" s="6"/>
      <c r="B12" s="6"/>
      <c r="C12" s="41"/>
      <c r="D12" s="41"/>
      <c r="E12" s="41"/>
      <c r="F12" s="41"/>
      <c r="G12" s="41"/>
      <c r="H12" s="41"/>
      <c r="I12" s="41"/>
      <c r="J12" s="41"/>
      <c r="K12" s="41"/>
      <c r="L12" s="41"/>
      <c r="M12" s="41"/>
      <c r="N12" s="41"/>
      <c r="O12" s="41"/>
      <c r="P12" s="41"/>
      <c r="Q12" s="41"/>
      <c r="R12" s="41"/>
      <c r="S12" s="6"/>
      <c r="T12" s="6"/>
    </row>
    <row r="13" spans="1:20" x14ac:dyDescent="0.35">
      <c r="A13" s="6"/>
      <c r="B13" s="6"/>
      <c r="C13" s="41"/>
      <c r="D13" s="41"/>
      <c r="E13" s="41"/>
      <c r="F13" s="41"/>
      <c r="G13" s="41"/>
      <c r="H13" s="41"/>
      <c r="I13" s="41"/>
      <c r="J13" s="41"/>
      <c r="K13" s="41"/>
      <c r="L13" s="41"/>
      <c r="M13" s="41"/>
      <c r="N13" s="41"/>
      <c r="O13" s="41"/>
      <c r="P13" s="41"/>
      <c r="Q13" s="41"/>
      <c r="R13" s="41"/>
      <c r="S13" s="6"/>
      <c r="T13" s="6"/>
    </row>
    <row r="14" spans="1:20" x14ac:dyDescent="0.35">
      <c r="A14" s="6"/>
      <c r="B14" s="6"/>
      <c r="C14" s="41"/>
      <c r="D14" s="41"/>
      <c r="E14" s="41"/>
      <c r="F14" s="41"/>
      <c r="G14" s="41"/>
      <c r="H14" s="41"/>
      <c r="I14" s="41"/>
      <c r="J14" s="41"/>
      <c r="K14" s="41"/>
      <c r="L14" s="41"/>
      <c r="M14" s="41"/>
      <c r="N14" s="41"/>
      <c r="O14" s="41"/>
      <c r="P14" s="41"/>
      <c r="Q14" s="41"/>
      <c r="R14" s="41"/>
      <c r="S14" s="6"/>
      <c r="T14" s="6"/>
    </row>
    <row r="15" spans="1:20" x14ac:dyDescent="0.35">
      <c r="A15" s="6"/>
      <c r="B15" s="6"/>
      <c r="C15" s="41"/>
      <c r="D15" s="41"/>
      <c r="E15" s="41"/>
      <c r="F15" s="41"/>
      <c r="G15" s="41"/>
      <c r="H15" s="41"/>
      <c r="I15" s="41"/>
      <c r="J15" s="41"/>
      <c r="K15" s="41"/>
      <c r="L15" s="41"/>
      <c r="M15" s="41"/>
      <c r="N15" s="41"/>
      <c r="O15" s="41"/>
      <c r="P15" s="41"/>
      <c r="Q15" s="41"/>
      <c r="R15" s="41"/>
      <c r="S15" s="6"/>
      <c r="T15" s="6"/>
    </row>
    <row r="16" spans="1:20" x14ac:dyDescent="0.35">
      <c r="A16" s="6"/>
      <c r="B16" s="6"/>
      <c r="C16" s="41"/>
      <c r="D16" s="41"/>
      <c r="E16" s="41"/>
      <c r="F16" s="41"/>
      <c r="G16" s="41"/>
      <c r="H16" s="41"/>
      <c r="I16" s="41"/>
      <c r="J16" s="41"/>
      <c r="K16" s="41"/>
      <c r="L16" s="41"/>
      <c r="M16" s="41"/>
      <c r="N16" s="41"/>
      <c r="O16" s="41"/>
      <c r="P16" s="41"/>
      <c r="Q16" s="41"/>
      <c r="R16" s="41"/>
      <c r="S16" s="6"/>
      <c r="T16" s="6"/>
    </row>
    <row r="17" spans="1:20" x14ac:dyDescent="0.35">
      <c r="A17" s="6"/>
      <c r="B17" s="6"/>
      <c r="C17" s="41"/>
      <c r="D17" s="41"/>
      <c r="E17" s="41"/>
      <c r="F17" s="41"/>
      <c r="G17" s="41"/>
      <c r="H17" s="41"/>
      <c r="I17" s="41"/>
      <c r="J17" s="41"/>
      <c r="K17" s="41"/>
      <c r="L17" s="41"/>
      <c r="M17" s="41"/>
      <c r="N17" s="41"/>
      <c r="O17" s="41"/>
      <c r="P17" s="41"/>
      <c r="Q17" s="41"/>
      <c r="R17" s="41"/>
      <c r="S17" s="6"/>
      <c r="T17" s="6"/>
    </row>
    <row r="18" spans="1:20" x14ac:dyDescent="0.35">
      <c r="A18" s="6"/>
      <c r="B18" s="6"/>
      <c r="C18" s="41"/>
      <c r="D18" s="41"/>
      <c r="E18" s="41"/>
      <c r="F18" s="41"/>
      <c r="G18" s="41"/>
      <c r="H18" s="41"/>
      <c r="I18" s="41"/>
      <c r="J18" s="41"/>
      <c r="K18" s="41"/>
      <c r="L18" s="41"/>
      <c r="M18" s="41"/>
      <c r="N18" s="41"/>
      <c r="O18" s="41"/>
      <c r="P18" s="41"/>
      <c r="Q18" s="41"/>
      <c r="R18" s="41"/>
      <c r="S18" s="6"/>
      <c r="T18" s="6"/>
    </row>
    <row r="19" spans="1:20" x14ac:dyDescent="0.35">
      <c r="A19" s="6"/>
      <c r="B19" s="6"/>
      <c r="C19" s="41"/>
      <c r="D19" s="41"/>
      <c r="E19" s="41"/>
      <c r="F19" s="41"/>
      <c r="G19" s="41"/>
      <c r="H19" s="41"/>
      <c r="I19" s="41"/>
      <c r="J19" s="41"/>
      <c r="K19" s="41"/>
      <c r="L19" s="41"/>
      <c r="M19" s="41"/>
      <c r="N19" s="41"/>
      <c r="O19" s="41"/>
      <c r="P19" s="41"/>
      <c r="Q19" s="41"/>
      <c r="R19" s="41"/>
      <c r="S19" s="6"/>
      <c r="T19" s="6"/>
    </row>
    <row r="20" spans="1:20" x14ac:dyDescent="0.35">
      <c r="A20" s="6"/>
      <c r="B20" s="8"/>
      <c r="C20" s="41"/>
      <c r="D20" s="41"/>
      <c r="E20" s="41"/>
      <c r="F20" s="41"/>
      <c r="G20" s="41"/>
      <c r="H20" s="41"/>
      <c r="I20" s="41"/>
      <c r="J20" s="41"/>
      <c r="K20" s="41"/>
      <c r="L20" s="41"/>
      <c r="M20" s="41"/>
      <c r="N20" s="41"/>
      <c r="O20" s="41"/>
      <c r="P20" s="41"/>
      <c r="Q20" s="41"/>
      <c r="R20" s="41"/>
      <c r="S20" s="8"/>
      <c r="T20" s="8"/>
    </row>
    <row r="21" spans="1:20" ht="29" customHeight="1" x14ac:dyDescent="0.35">
      <c r="A21" s="6"/>
      <c r="B21" s="9"/>
      <c r="C21" s="78" t="s">
        <v>33</v>
      </c>
      <c r="D21" s="78"/>
      <c r="E21" s="78"/>
      <c r="F21" s="78"/>
      <c r="G21" s="78"/>
      <c r="H21" s="78"/>
      <c r="I21" s="78"/>
      <c r="J21" s="78"/>
      <c r="K21" s="78"/>
      <c r="L21" s="78"/>
      <c r="M21" s="78"/>
      <c r="N21" s="78"/>
      <c r="O21" s="78"/>
      <c r="P21" s="78"/>
      <c r="Q21" s="78"/>
      <c r="R21" s="78"/>
      <c r="S21" s="9"/>
      <c r="T21" s="9"/>
    </row>
    <row r="22" spans="1:20" x14ac:dyDescent="0.35">
      <c r="A22" s="6"/>
      <c r="B22" s="6"/>
      <c r="S22" s="6"/>
      <c r="T22" s="6"/>
    </row>
    <row r="23" spans="1:20" x14ac:dyDescent="0.35">
      <c r="A23" s="6"/>
      <c r="B23" s="6"/>
      <c r="S23" s="6"/>
      <c r="T23" s="6"/>
    </row>
    <row r="24" spans="1:20" ht="15" thickBot="1" x14ac:dyDescent="0.4">
      <c r="A24" s="6"/>
      <c r="B24" s="6"/>
      <c r="C24" s="77" t="s">
        <v>7</v>
      </c>
      <c r="D24" s="77"/>
      <c r="E24" s="77"/>
      <c r="F24" s="77"/>
      <c r="G24" s="77"/>
      <c r="H24" s="77"/>
      <c r="S24" s="6"/>
      <c r="T24" s="6"/>
    </row>
    <row r="25" spans="1:20" ht="15" customHeight="1" thickBot="1" x14ac:dyDescent="0.4">
      <c r="A25" s="6"/>
      <c r="B25" s="6"/>
      <c r="D25" s="79" t="s">
        <v>46</v>
      </c>
      <c r="E25" s="79"/>
      <c r="F25" s="79"/>
      <c r="G25" s="79"/>
      <c r="H25" s="79"/>
      <c r="I25" s="79"/>
      <c r="J25" s="79"/>
      <c r="L25" s="75" t="s">
        <v>1</v>
      </c>
      <c r="M25" s="76"/>
      <c r="S25" s="6"/>
      <c r="T25" s="6"/>
    </row>
    <row r="26" spans="1:20" x14ac:dyDescent="0.35">
      <c r="A26" s="6"/>
      <c r="B26" s="6"/>
      <c r="D26" s="79"/>
      <c r="E26" s="79"/>
      <c r="F26" s="79"/>
      <c r="G26" s="79"/>
      <c r="H26" s="79"/>
      <c r="I26" s="79"/>
      <c r="J26" s="79"/>
      <c r="S26" s="6"/>
      <c r="T26" s="6"/>
    </row>
    <row r="27" spans="1:20" ht="15" thickBot="1" x14ac:dyDescent="0.4">
      <c r="A27" s="6"/>
      <c r="B27" s="6"/>
      <c r="S27" s="6"/>
      <c r="T27" s="6"/>
    </row>
    <row r="28" spans="1:20" ht="14.5" customHeight="1" x14ac:dyDescent="0.35">
      <c r="A28" s="6"/>
      <c r="B28" s="6"/>
      <c r="D28" s="79" t="s">
        <v>47</v>
      </c>
      <c r="E28" s="79"/>
      <c r="F28" s="79"/>
      <c r="G28" s="79"/>
      <c r="H28" s="79"/>
      <c r="I28" s="79"/>
      <c r="J28" s="79"/>
      <c r="K28" s="3"/>
      <c r="L28" s="68">
        <v>4</v>
      </c>
      <c r="M28" s="71" t="s">
        <v>15</v>
      </c>
      <c r="S28" s="6"/>
      <c r="T28" s="6"/>
    </row>
    <row r="29" spans="1:20" ht="15" thickBot="1" x14ac:dyDescent="0.4">
      <c r="A29" s="6"/>
      <c r="B29" s="6"/>
      <c r="D29" s="79"/>
      <c r="E29" s="79"/>
      <c r="F29" s="79"/>
      <c r="G29" s="79"/>
      <c r="H29" s="79"/>
      <c r="I29" s="79"/>
      <c r="J29" s="79"/>
      <c r="K29" s="3"/>
      <c r="L29" s="70"/>
      <c r="M29" s="73"/>
      <c r="S29" s="6"/>
      <c r="T29" s="6"/>
    </row>
    <row r="30" spans="1:20" x14ac:dyDescent="0.35">
      <c r="A30" s="6"/>
      <c r="B30" s="6"/>
      <c r="D30" s="79"/>
      <c r="E30" s="79"/>
      <c r="F30" s="79"/>
      <c r="G30" s="79"/>
      <c r="H30" s="79"/>
      <c r="I30" s="79"/>
      <c r="J30" s="79"/>
      <c r="K30" s="3"/>
      <c r="L30" s="10"/>
      <c r="M30" s="1"/>
      <c r="S30" s="6"/>
      <c r="T30" s="6"/>
    </row>
    <row r="31" spans="1:20" ht="15" thickBot="1" x14ac:dyDescent="0.4">
      <c r="A31" s="6"/>
      <c r="B31" s="6"/>
      <c r="D31" s="5"/>
      <c r="E31" s="5"/>
      <c r="F31" s="5"/>
      <c r="G31" s="5"/>
      <c r="H31" s="5"/>
      <c r="I31" s="5"/>
      <c r="J31" s="5"/>
      <c r="K31" s="3"/>
      <c r="L31" s="10"/>
      <c r="M31" s="1"/>
      <c r="S31" s="6"/>
      <c r="T31" s="6"/>
    </row>
    <row r="32" spans="1:20" x14ac:dyDescent="0.35">
      <c r="A32" s="6"/>
      <c r="B32" s="6"/>
      <c r="D32" s="61" t="s">
        <v>48</v>
      </c>
      <c r="E32" s="61"/>
      <c r="F32" s="61"/>
      <c r="G32" s="61"/>
      <c r="H32" s="61"/>
      <c r="I32" s="61"/>
      <c r="J32" s="61"/>
      <c r="L32" s="62">
        <v>0.8</v>
      </c>
      <c r="M32" s="63"/>
      <c r="S32" s="6"/>
      <c r="T32" s="6"/>
    </row>
    <row r="33" spans="1:20" x14ac:dyDescent="0.35">
      <c r="A33" s="6"/>
      <c r="B33" s="6"/>
      <c r="D33" s="61"/>
      <c r="E33" s="61"/>
      <c r="F33" s="61"/>
      <c r="G33" s="61"/>
      <c r="H33" s="61"/>
      <c r="I33" s="61"/>
      <c r="J33" s="61"/>
      <c r="L33" s="64"/>
      <c r="M33" s="65"/>
      <c r="S33" s="6"/>
      <c r="T33" s="6"/>
    </row>
    <row r="34" spans="1:20" ht="15" thickBot="1" x14ac:dyDescent="0.4">
      <c r="A34" s="6"/>
      <c r="B34" s="6"/>
      <c r="D34" s="61"/>
      <c r="E34" s="61"/>
      <c r="F34" s="61"/>
      <c r="G34" s="61"/>
      <c r="H34" s="61"/>
      <c r="I34" s="61"/>
      <c r="J34" s="61"/>
      <c r="L34" s="66"/>
      <c r="M34" s="67"/>
      <c r="S34" s="6"/>
      <c r="T34" s="6"/>
    </row>
    <row r="35" spans="1:20" x14ac:dyDescent="0.35">
      <c r="A35" s="6"/>
      <c r="B35" s="6"/>
      <c r="S35" s="6"/>
      <c r="T35" s="6"/>
    </row>
    <row r="36" spans="1:20" x14ac:dyDescent="0.35">
      <c r="A36" s="6"/>
      <c r="B36" s="6"/>
      <c r="S36" s="6"/>
      <c r="T36" s="6"/>
    </row>
    <row r="37" spans="1:20" x14ac:dyDescent="0.35">
      <c r="A37" s="6"/>
      <c r="B37" s="6"/>
      <c r="S37" s="6"/>
      <c r="T37" s="6"/>
    </row>
    <row r="38" spans="1:20" ht="15" thickBot="1" x14ac:dyDescent="0.4">
      <c r="A38" s="6"/>
      <c r="B38" s="6"/>
      <c r="C38" s="84" t="s">
        <v>11</v>
      </c>
      <c r="D38" s="84"/>
      <c r="E38" s="84"/>
      <c r="F38" s="84"/>
      <c r="G38" s="84"/>
      <c r="H38" s="84"/>
      <c r="S38" s="6"/>
      <c r="T38" s="6"/>
    </row>
    <row r="39" spans="1:20" x14ac:dyDescent="0.35">
      <c r="A39" s="6"/>
      <c r="B39" s="6"/>
      <c r="D39" s="79" t="s">
        <v>49</v>
      </c>
      <c r="E39" s="79"/>
      <c r="F39" s="79"/>
      <c r="G39" s="79"/>
      <c r="H39" s="79"/>
      <c r="I39" s="79"/>
      <c r="J39" s="79"/>
      <c r="L39" s="81" t="s">
        <v>8</v>
      </c>
      <c r="M39" s="71"/>
      <c r="S39" s="6"/>
      <c r="T39" s="6"/>
    </row>
    <row r="40" spans="1:20" ht="15" thickBot="1" x14ac:dyDescent="0.4">
      <c r="A40" s="6"/>
      <c r="B40" s="6"/>
      <c r="D40" s="79"/>
      <c r="E40" s="79"/>
      <c r="F40" s="79"/>
      <c r="G40" s="79"/>
      <c r="H40" s="79"/>
      <c r="I40" s="79"/>
      <c r="J40" s="79"/>
      <c r="L40" s="82"/>
      <c r="M40" s="73"/>
      <c r="S40" s="6"/>
      <c r="T40" s="6"/>
    </row>
    <row r="41" spans="1:20" x14ac:dyDescent="0.35">
      <c r="A41" s="6"/>
      <c r="B41" s="6"/>
      <c r="S41" s="6"/>
      <c r="T41" s="6"/>
    </row>
    <row r="42" spans="1:20" ht="15" thickBot="1" x14ac:dyDescent="0.4">
      <c r="A42" s="6"/>
      <c r="B42" s="6"/>
      <c r="S42" s="6"/>
      <c r="T42" s="6"/>
    </row>
    <row r="43" spans="1:20" ht="14.5" customHeight="1" x14ac:dyDescent="0.35">
      <c r="A43" s="6"/>
      <c r="B43" s="6"/>
      <c r="D43" s="79" t="s">
        <v>34</v>
      </c>
      <c r="E43" s="79"/>
      <c r="F43" s="79"/>
      <c r="G43" s="79"/>
      <c r="H43" s="79"/>
      <c r="I43" s="79"/>
      <c r="J43" s="79"/>
      <c r="L43" s="68">
        <v>4</v>
      </c>
      <c r="M43" s="71" t="s">
        <v>15</v>
      </c>
      <c r="S43" s="6"/>
      <c r="T43" s="6"/>
    </row>
    <row r="44" spans="1:20" x14ac:dyDescent="0.35">
      <c r="A44" s="6"/>
      <c r="B44" s="6"/>
      <c r="D44" s="79"/>
      <c r="E44" s="79"/>
      <c r="F44" s="79"/>
      <c r="G44" s="79"/>
      <c r="H44" s="79"/>
      <c r="I44" s="79"/>
      <c r="J44" s="79"/>
      <c r="L44" s="69"/>
      <c r="M44" s="72"/>
      <c r="S44" s="6"/>
      <c r="T44" s="6"/>
    </row>
    <row r="45" spans="1:20" ht="15" thickBot="1" x14ac:dyDescent="0.4">
      <c r="A45" s="6"/>
      <c r="B45" s="6"/>
      <c r="D45" s="79"/>
      <c r="E45" s="79"/>
      <c r="F45" s="79"/>
      <c r="G45" s="79"/>
      <c r="H45" s="79"/>
      <c r="I45" s="79"/>
      <c r="J45" s="79"/>
      <c r="L45" s="70"/>
      <c r="M45" s="73"/>
      <c r="S45" s="6"/>
      <c r="T45" s="6"/>
    </row>
    <row r="46" spans="1:20" x14ac:dyDescent="0.35">
      <c r="A46" s="6"/>
      <c r="B46" s="6"/>
      <c r="D46" s="79"/>
      <c r="E46" s="79"/>
      <c r="F46" s="79"/>
      <c r="G46" s="79"/>
      <c r="H46" s="79"/>
      <c r="I46" s="79"/>
      <c r="J46" s="79"/>
      <c r="S46" s="6"/>
      <c r="T46" s="6"/>
    </row>
    <row r="47" spans="1:20" x14ac:dyDescent="0.35">
      <c r="A47" s="6"/>
      <c r="B47" s="6"/>
      <c r="S47" s="6"/>
      <c r="T47" s="6"/>
    </row>
    <row r="48" spans="1:20" ht="15" thickBot="1" x14ac:dyDescent="0.4">
      <c r="A48" s="6"/>
      <c r="B48" s="6"/>
      <c r="S48" s="6"/>
      <c r="T48" s="6"/>
    </row>
    <row r="49" spans="1:20" x14ac:dyDescent="0.35">
      <c r="A49" s="6"/>
      <c r="B49" s="6"/>
      <c r="D49" s="61" t="s">
        <v>35</v>
      </c>
      <c r="E49" s="61"/>
      <c r="F49" s="61"/>
      <c r="G49" s="61"/>
      <c r="H49" s="61"/>
      <c r="I49" s="61"/>
      <c r="J49" s="61"/>
      <c r="L49" s="62">
        <v>0</v>
      </c>
      <c r="M49" s="63"/>
      <c r="S49" s="6"/>
      <c r="T49" s="6"/>
    </row>
    <row r="50" spans="1:20" x14ac:dyDescent="0.35">
      <c r="A50" s="6"/>
      <c r="B50" s="6"/>
      <c r="D50" s="61"/>
      <c r="E50" s="61"/>
      <c r="F50" s="61"/>
      <c r="G50" s="61"/>
      <c r="H50" s="61"/>
      <c r="I50" s="61"/>
      <c r="J50" s="61"/>
      <c r="L50" s="64"/>
      <c r="M50" s="65"/>
      <c r="S50" s="6"/>
      <c r="T50" s="6"/>
    </row>
    <row r="51" spans="1:20" ht="15" thickBot="1" x14ac:dyDescent="0.4">
      <c r="A51" s="6"/>
      <c r="B51" s="6"/>
      <c r="D51" s="61"/>
      <c r="E51" s="61"/>
      <c r="F51" s="61"/>
      <c r="G51" s="61"/>
      <c r="H51" s="61"/>
      <c r="I51" s="61"/>
      <c r="J51" s="61"/>
      <c r="L51" s="66"/>
      <c r="M51" s="67"/>
      <c r="S51" s="6"/>
      <c r="T51" s="6"/>
    </row>
    <row r="52" spans="1:20" x14ac:dyDescent="0.35">
      <c r="A52" s="6"/>
      <c r="B52" s="6"/>
      <c r="S52" s="6"/>
      <c r="T52" s="6"/>
    </row>
    <row r="53" spans="1:20" x14ac:dyDescent="0.35">
      <c r="A53" s="6"/>
      <c r="B53" s="6"/>
      <c r="S53" s="6"/>
      <c r="T53" s="6"/>
    </row>
    <row r="54" spans="1:20" ht="15" thickBot="1" x14ac:dyDescent="0.4">
      <c r="A54" s="6"/>
      <c r="B54" s="6"/>
      <c r="S54" s="6"/>
      <c r="T54" s="6"/>
    </row>
    <row r="55" spans="1:20" x14ac:dyDescent="0.35">
      <c r="A55" s="6"/>
      <c r="B55" s="6"/>
      <c r="D55" s="61" t="s">
        <v>16</v>
      </c>
      <c r="E55" s="61"/>
      <c r="F55" s="61"/>
      <c r="G55" s="61"/>
      <c r="H55" s="61"/>
      <c r="I55" s="61"/>
      <c r="J55" s="61"/>
      <c r="L55" s="68">
        <v>1</v>
      </c>
      <c r="M55" s="71" t="s">
        <v>15</v>
      </c>
      <c r="S55" s="6"/>
      <c r="T55" s="6"/>
    </row>
    <row r="56" spans="1:20" x14ac:dyDescent="0.35">
      <c r="A56" s="6"/>
      <c r="B56" s="6"/>
      <c r="D56" s="61"/>
      <c r="E56" s="61"/>
      <c r="F56" s="61"/>
      <c r="G56" s="61"/>
      <c r="H56" s="61"/>
      <c r="I56" s="61"/>
      <c r="J56" s="61"/>
      <c r="L56" s="69"/>
      <c r="M56" s="72"/>
      <c r="S56" s="6"/>
      <c r="T56" s="6"/>
    </row>
    <row r="57" spans="1:20" ht="15" thickBot="1" x14ac:dyDescent="0.4">
      <c r="A57" s="6"/>
      <c r="B57" s="6"/>
      <c r="D57" s="61"/>
      <c r="E57" s="61"/>
      <c r="F57" s="61"/>
      <c r="G57" s="61"/>
      <c r="H57" s="61"/>
      <c r="I57" s="61"/>
      <c r="J57" s="61"/>
      <c r="L57" s="70"/>
      <c r="M57" s="73"/>
      <c r="S57" s="6"/>
      <c r="T57" s="6"/>
    </row>
    <row r="58" spans="1:20" x14ac:dyDescent="0.35">
      <c r="A58" s="6"/>
      <c r="B58" s="6"/>
      <c r="S58" s="6"/>
      <c r="T58" s="6"/>
    </row>
    <row r="59" spans="1:20" x14ac:dyDescent="0.35">
      <c r="A59" s="6"/>
      <c r="B59" s="6"/>
      <c r="C59" s="6"/>
      <c r="D59" s="6"/>
      <c r="E59" s="6"/>
      <c r="F59" s="6"/>
      <c r="G59" s="6"/>
      <c r="H59" s="6"/>
      <c r="I59" s="6"/>
      <c r="J59" s="6"/>
      <c r="K59" s="6"/>
      <c r="L59" s="6"/>
      <c r="M59" s="6"/>
      <c r="N59" s="6"/>
      <c r="O59" s="6"/>
      <c r="P59" s="6"/>
      <c r="Q59" s="6"/>
      <c r="R59" s="6"/>
      <c r="S59" s="6"/>
      <c r="T59" s="6"/>
    </row>
    <row r="60" spans="1:20" x14ac:dyDescent="0.35">
      <c r="A60" s="6"/>
      <c r="B60" s="6"/>
      <c r="C60" s="6"/>
      <c r="D60" s="6"/>
      <c r="E60" s="6"/>
      <c r="F60" s="6"/>
      <c r="G60" s="6"/>
      <c r="H60" s="6"/>
      <c r="I60" s="6"/>
      <c r="J60" s="6"/>
      <c r="K60" s="6"/>
      <c r="L60" s="6"/>
      <c r="M60" s="6"/>
      <c r="N60" s="6"/>
      <c r="O60" s="6"/>
      <c r="P60" s="6"/>
      <c r="Q60" s="6"/>
      <c r="R60" s="6"/>
      <c r="S60" s="6"/>
      <c r="T60" s="6"/>
    </row>
    <row r="61" spans="1:20" x14ac:dyDescent="0.35">
      <c r="A61" s="6"/>
      <c r="B61" s="6"/>
      <c r="C61" s="6"/>
      <c r="D61" s="6"/>
      <c r="E61" s="6"/>
      <c r="F61" s="6"/>
      <c r="G61" s="6"/>
      <c r="H61" s="6"/>
      <c r="I61" s="6"/>
      <c r="J61" s="6"/>
      <c r="K61" s="6"/>
      <c r="L61" s="6"/>
      <c r="M61" s="6"/>
      <c r="N61" s="6"/>
      <c r="O61" s="6"/>
      <c r="P61" s="6"/>
      <c r="Q61" s="6"/>
      <c r="R61" s="6"/>
      <c r="S61" s="6"/>
      <c r="T61" s="6"/>
    </row>
    <row r="62" spans="1:20" x14ac:dyDescent="0.35">
      <c r="A62" s="6"/>
      <c r="B62" s="6"/>
      <c r="C62" s="6"/>
      <c r="D62" s="6"/>
      <c r="E62" s="6"/>
      <c r="F62" s="6"/>
      <c r="G62" s="6"/>
      <c r="H62" s="6"/>
      <c r="I62" s="6"/>
      <c r="J62" s="6"/>
      <c r="K62" s="6"/>
      <c r="L62" s="6"/>
      <c r="M62" s="6"/>
      <c r="N62" s="6"/>
      <c r="O62" s="6"/>
      <c r="P62" s="6"/>
      <c r="Q62" s="6"/>
      <c r="R62" s="6"/>
      <c r="S62" s="6"/>
      <c r="T62" s="6"/>
    </row>
  </sheetData>
  <mergeCells count="22">
    <mergeCell ref="D55:J57"/>
    <mergeCell ref="L55:L57"/>
    <mergeCell ref="M55:M57"/>
    <mergeCell ref="M28:M29"/>
    <mergeCell ref="C4:R20"/>
    <mergeCell ref="D32:J34"/>
    <mergeCell ref="L32:M34"/>
    <mergeCell ref="D39:J40"/>
    <mergeCell ref="L39:M40"/>
    <mergeCell ref="D43:J46"/>
    <mergeCell ref="L43:L45"/>
    <mergeCell ref="M43:M45"/>
    <mergeCell ref="D49:J51"/>
    <mergeCell ref="L49:M51"/>
    <mergeCell ref="C2:R2"/>
    <mergeCell ref="C21:R21"/>
    <mergeCell ref="C24:H24"/>
    <mergeCell ref="L25:M25"/>
    <mergeCell ref="C38:H38"/>
    <mergeCell ref="D25:J26"/>
    <mergeCell ref="D28:J30"/>
    <mergeCell ref="L28:L29"/>
  </mergeCells>
  <conditionalFormatting sqref="L25 L39">
    <cfRule type="containsText" dxfId="5" priority="2" operator="containsText" text="No">
      <formula>NOT(ISERROR(SEARCH("No",L25)))</formula>
    </cfRule>
  </conditionalFormatting>
  <conditionalFormatting sqref="L28:M29 L32:M34 L39:M40 L43:M45 L49:M51 L55:M57">
    <cfRule type="expression" dxfId="4" priority="3">
      <formula>$L$25="No"</formula>
    </cfRule>
  </conditionalFormatting>
  <conditionalFormatting sqref="L43:M45 L49">
    <cfRule type="expression" dxfId="3" priority="1">
      <formula>$L$39="No"</formula>
    </cfRule>
  </conditionalFormatting>
  <dataValidations count="2">
    <dataValidation allowBlank="1" showInputMessage="1" showErrorMessage="1" prompt="This question captures the impact of the worst-case scenario: the fact that the facility completely loses its IT system and is unable to operate its backup." sqref="D28:J30" xr:uid="{B28BF10F-4C5D-4E94-B182-29F2147E5200}"/>
    <dataValidation allowBlank="1" showInputMessage="1" showErrorMessage="1" prompt="This question must be answered only if the facility has a backup mode for Internet." sqref="D49:J51" xr:uid="{26C56BC1-08E8-4BAD-9F9B-527B4FDE54D0}"/>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prompt="If information technology is not needed for core operations, ignore the remaining responses for this tab (they should be blacked out) and omit this section from the final report. " xr:uid="{0053E50D-BB31-482B-8867-4441C8045E0A}">
          <x14:formula1>
            <xm:f>'Formulas_Dont Delete'!$AX$1:$AX$3</xm:f>
          </x14:formula1>
          <xm:sqref>L25:M25</xm:sqref>
        </x14:dataValidation>
        <x14:dataValidation type="list" allowBlank="1" showInputMessage="1" showErrorMessage="1" xr:uid="{2BEB63C9-5DAB-441D-B607-0EAB8EEF7068}">
          <x14:formula1>
            <xm:f>'Formulas_Dont Delete'!$AX$1:$AX$3</xm:f>
          </x14:formula1>
          <xm:sqref>L39:M40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6CCCA-A2D8-418F-8BF7-B6B0217201F8}">
  <sheetPr>
    <tabColor theme="9" tint="0.39997558519241921"/>
  </sheetPr>
  <dimension ref="A1:T58"/>
  <sheetViews>
    <sheetView showGridLines="0" topLeftCell="A3" workbookViewId="0">
      <selection activeCell="P27" sqref="P27"/>
    </sheetView>
  </sheetViews>
  <sheetFormatPr defaultColWidth="0" defaultRowHeight="14.5" zeroHeight="1" x14ac:dyDescent="0.35"/>
  <cols>
    <col min="1" max="1" width="8.7265625" customWidth="1"/>
    <col min="2" max="2" width="2.6328125" customWidth="1"/>
    <col min="3" max="12" width="8.7265625" customWidth="1"/>
    <col min="13" max="13" width="9.54296875" bestFit="1" customWidth="1"/>
    <col min="14" max="18" width="8.7265625" customWidth="1"/>
    <col min="19" max="19" width="2.6328125" customWidth="1"/>
    <col min="20" max="20" width="8.7265625" customWidth="1"/>
    <col min="21" max="16384" width="8.7265625" hidden="1"/>
  </cols>
  <sheetData>
    <row r="1" spans="1:20" ht="12" customHeight="1" x14ac:dyDescent="0.35">
      <c r="A1" s="6"/>
      <c r="B1" s="6"/>
      <c r="C1" s="6"/>
      <c r="D1" s="6"/>
      <c r="E1" s="6"/>
      <c r="F1" s="6"/>
      <c r="G1" s="6"/>
      <c r="H1" s="6"/>
      <c r="I1" s="6"/>
      <c r="J1" s="6"/>
      <c r="K1" s="6"/>
      <c r="L1" s="6"/>
      <c r="M1" s="6"/>
      <c r="N1" s="6"/>
      <c r="O1" s="6"/>
      <c r="P1" s="6"/>
      <c r="Q1" s="6"/>
      <c r="R1" s="6"/>
      <c r="S1" s="6"/>
      <c r="T1" s="6"/>
    </row>
    <row r="2" spans="1:20" ht="29.5" customHeight="1" x14ac:dyDescent="0.35">
      <c r="A2" s="6"/>
      <c r="B2" s="7"/>
      <c r="C2" s="74" t="s">
        <v>5</v>
      </c>
      <c r="D2" s="74"/>
      <c r="E2" s="74"/>
      <c r="F2" s="74"/>
      <c r="G2" s="74"/>
      <c r="H2" s="74"/>
      <c r="I2" s="74"/>
      <c r="J2" s="74"/>
      <c r="K2" s="74"/>
      <c r="L2" s="74"/>
      <c r="M2" s="74"/>
      <c r="N2" s="74"/>
      <c r="O2" s="74"/>
      <c r="P2" s="74"/>
      <c r="Q2" s="74"/>
      <c r="R2" s="74"/>
      <c r="S2" s="7"/>
      <c r="T2" s="7"/>
    </row>
    <row r="3" spans="1:20" ht="10" customHeight="1" x14ac:dyDescent="0.35">
      <c r="A3" s="6"/>
      <c r="B3" s="6"/>
      <c r="C3" s="6"/>
      <c r="D3" s="6"/>
      <c r="E3" s="6"/>
      <c r="F3" s="6"/>
      <c r="G3" s="6"/>
      <c r="H3" s="6"/>
      <c r="I3" s="6"/>
      <c r="J3" s="6"/>
      <c r="K3" s="6"/>
      <c r="L3" s="6"/>
      <c r="M3" s="6"/>
      <c r="N3" s="6"/>
      <c r="O3" s="6"/>
      <c r="P3" s="6"/>
      <c r="Q3" s="6"/>
      <c r="R3" s="6"/>
      <c r="S3" s="6"/>
      <c r="T3" s="6"/>
    </row>
    <row r="4" spans="1:20" x14ac:dyDescent="0.35">
      <c r="A4" s="6"/>
      <c r="B4" s="6"/>
      <c r="C4" s="41"/>
      <c r="D4" s="41"/>
      <c r="E4" s="41"/>
      <c r="F4" s="41"/>
      <c r="G4" s="41"/>
      <c r="H4" s="41"/>
      <c r="I4" s="41"/>
      <c r="J4" s="41"/>
      <c r="K4" s="41"/>
      <c r="L4" s="41"/>
      <c r="M4" s="41"/>
      <c r="N4" s="41"/>
      <c r="O4" s="41"/>
      <c r="P4" s="41"/>
      <c r="Q4" s="41"/>
      <c r="R4" s="41"/>
      <c r="S4" s="6"/>
      <c r="T4" s="6"/>
    </row>
    <row r="5" spans="1:20" x14ac:dyDescent="0.35">
      <c r="A5" s="6"/>
      <c r="B5" s="6"/>
      <c r="C5" s="41"/>
      <c r="D5" s="41"/>
      <c r="E5" s="41"/>
      <c r="F5" s="41"/>
      <c r="G5" s="41"/>
      <c r="H5" s="41"/>
      <c r="I5" s="41"/>
      <c r="J5" s="41"/>
      <c r="K5" s="41"/>
      <c r="L5" s="41"/>
      <c r="M5" s="41"/>
      <c r="N5" s="41"/>
      <c r="O5" s="41"/>
      <c r="P5" s="41"/>
      <c r="Q5" s="41"/>
      <c r="R5" s="41"/>
      <c r="S5" s="6"/>
      <c r="T5" s="6"/>
    </row>
    <row r="6" spans="1:20" x14ac:dyDescent="0.35">
      <c r="A6" s="6"/>
      <c r="B6" s="6"/>
      <c r="C6" s="41"/>
      <c r="D6" s="41"/>
      <c r="E6" s="41"/>
      <c r="F6" s="41"/>
      <c r="G6" s="41"/>
      <c r="H6" s="41"/>
      <c r="I6" s="41"/>
      <c r="J6" s="41"/>
      <c r="K6" s="41"/>
      <c r="L6" s="41"/>
      <c r="M6" s="41"/>
      <c r="N6" s="41"/>
      <c r="O6" s="41"/>
      <c r="P6" s="41"/>
      <c r="Q6" s="41"/>
      <c r="R6" s="41"/>
      <c r="S6" s="6"/>
      <c r="T6" s="6"/>
    </row>
    <row r="7" spans="1:20" x14ac:dyDescent="0.35">
      <c r="A7" s="6"/>
      <c r="B7" s="6"/>
      <c r="C7" s="41"/>
      <c r="D7" s="41"/>
      <c r="E7" s="41"/>
      <c r="F7" s="41"/>
      <c r="G7" s="41"/>
      <c r="H7" s="41"/>
      <c r="I7" s="41"/>
      <c r="J7" s="41"/>
      <c r="K7" s="41"/>
      <c r="L7" s="41"/>
      <c r="M7" s="41"/>
      <c r="N7" s="41"/>
      <c r="O7" s="41"/>
      <c r="P7" s="41"/>
      <c r="Q7" s="41"/>
      <c r="R7" s="41"/>
      <c r="S7" s="6"/>
      <c r="T7" s="6"/>
    </row>
    <row r="8" spans="1:20" x14ac:dyDescent="0.35">
      <c r="A8" s="6"/>
      <c r="B8" s="6"/>
      <c r="C8" s="41"/>
      <c r="D8" s="41"/>
      <c r="E8" s="41"/>
      <c r="F8" s="41"/>
      <c r="G8" s="41"/>
      <c r="H8" s="41"/>
      <c r="I8" s="41"/>
      <c r="J8" s="41"/>
      <c r="K8" s="41"/>
      <c r="L8" s="41"/>
      <c r="M8" s="41"/>
      <c r="N8" s="41"/>
      <c r="O8" s="41"/>
      <c r="P8" s="41"/>
      <c r="Q8" s="41"/>
      <c r="R8" s="41"/>
      <c r="S8" s="6"/>
      <c r="T8" s="6"/>
    </row>
    <row r="9" spans="1:20" x14ac:dyDescent="0.35">
      <c r="A9" s="6"/>
      <c r="B9" s="6"/>
      <c r="C9" s="41"/>
      <c r="D9" s="41"/>
      <c r="E9" s="41"/>
      <c r="F9" s="41"/>
      <c r="G9" s="41"/>
      <c r="H9" s="41"/>
      <c r="I9" s="41"/>
      <c r="J9" s="41"/>
      <c r="K9" s="41"/>
      <c r="L9" s="41"/>
      <c r="M9" s="41"/>
      <c r="N9" s="41"/>
      <c r="O9" s="41"/>
      <c r="P9" s="41"/>
      <c r="Q9" s="41"/>
      <c r="R9" s="41"/>
      <c r="S9" s="6"/>
      <c r="T9" s="6"/>
    </row>
    <row r="10" spans="1:20" x14ac:dyDescent="0.35">
      <c r="A10" s="6"/>
      <c r="B10" s="6"/>
      <c r="C10" s="41"/>
      <c r="D10" s="41"/>
      <c r="E10" s="41"/>
      <c r="F10" s="41"/>
      <c r="G10" s="41"/>
      <c r="H10" s="41"/>
      <c r="I10" s="41"/>
      <c r="J10" s="41"/>
      <c r="K10" s="41"/>
      <c r="L10" s="41"/>
      <c r="M10" s="41"/>
      <c r="N10" s="41"/>
      <c r="O10" s="41"/>
      <c r="P10" s="41"/>
      <c r="Q10" s="41"/>
      <c r="R10" s="41"/>
      <c r="S10" s="6"/>
      <c r="T10" s="6"/>
    </row>
    <row r="11" spans="1:20" x14ac:dyDescent="0.35">
      <c r="A11" s="6"/>
      <c r="B11" s="6"/>
      <c r="C11" s="41"/>
      <c r="D11" s="41"/>
      <c r="E11" s="41"/>
      <c r="F11" s="41"/>
      <c r="G11" s="41"/>
      <c r="H11" s="41"/>
      <c r="I11" s="41"/>
      <c r="J11" s="41"/>
      <c r="K11" s="41"/>
      <c r="L11" s="41"/>
      <c r="M11" s="41"/>
      <c r="N11" s="41"/>
      <c r="O11" s="41"/>
      <c r="P11" s="41"/>
      <c r="Q11" s="41"/>
      <c r="R11" s="41"/>
      <c r="S11" s="6"/>
      <c r="T11" s="6"/>
    </row>
    <row r="12" spans="1:20" x14ac:dyDescent="0.35">
      <c r="A12" s="6"/>
      <c r="B12" s="6"/>
      <c r="C12" s="41"/>
      <c r="D12" s="41"/>
      <c r="E12" s="41"/>
      <c r="F12" s="41"/>
      <c r="G12" s="41"/>
      <c r="H12" s="41"/>
      <c r="I12" s="41"/>
      <c r="J12" s="41"/>
      <c r="K12" s="41"/>
      <c r="L12" s="41"/>
      <c r="M12" s="41"/>
      <c r="N12" s="41"/>
      <c r="O12" s="41"/>
      <c r="P12" s="41"/>
      <c r="Q12" s="41"/>
      <c r="R12" s="41"/>
      <c r="S12" s="6"/>
      <c r="T12" s="6"/>
    </row>
    <row r="13" spans="1:20" x14ac:dyDescent="0.35">
      <c r="A13" s="6"/>
      <c r="B13" s="6"/>
      <c r="C13" s="41"/>
      <c r="D13" s="41"/>
      <c r="E13" s="41"/>
      <c r="F13" s="41"/>
      <c r="G13" s="41"/>
      <c r="H13" s="41"/>
      <c r="I13" s="41"/>
      <c r="J13" s="41"/>
      <c r="K13" s="41"/>
      <c r="L13" s="41"/>
      <c r="M13" s="41"/>
      <c r="N13" s="41"/>
      <c r="O13" s="41"/>
      <c r="P13" s="41"/>
      <c r="Q13" s="41"/>
      <c r="R13" s="41"/>
      <c r="S13" s="6"/>
      <c r="T13" s="6"/>
    </row>
    <row r="14" spans="1:20" x14ac:dyDescent="0.35">
      <c r="A14" s="6"/>
      <c r="B14" s="6"/>
      <c r="C14" s="41"/>
      <c r="D14" s="41"/>
      <c r="E14" s="41"/>
      <c r="F14" s="41"/>
      <c r="G14" s="41"/>
      <c r="H14" s="41"/>
      <c r="I14" s="41"/>
      <c r="J14" s="41"/>
      <c r="K14" s="41"/>
      <c r="L14" s="41"/>
      <c r="M14" s="41"/>
      <c r="N14" s="41"/>
      <c r="O14" s="41"/>
      <c r="P14" s="41"/>
      <c r="Q14" s="41"/>
      <c r="R14" s="41"/>
      <c r="S14" s="6"/>
      <c r="T14" s="6"/>
    </row>
    <row r="15" spans="1:20" x14ac:dyDescent="0.35">
      <c r="A15" s="6"/>
      <c r="B15" s="6"/>
      <c r="C15" s="41"/>
      <c r="D15" s="41"/>
      <c r="E15" s="41"/>
      <c r="F15" s="41"/>
      <c r="G15" s="41"/>
      <c r="H15" s="41"/>
      <c r="I15" s="41"/>
      <c r="J15" s="41"/>
      <c r="K15" s="41"/>
      <c r="L15" s="41"/>
      <c r="M15" s="41"/>
      <c r="N15" s="41"/>
      <c r="O15" s="41"/>
      <c r="P15" s="41"/>
      <c r="Q15" s="41"/>
      <c r="R15" s="41"/>
      <c r="S15" s="6"/>
      <c r="T15" s="6"/>
    </row>
    <row r="16" spans="1:20" x14ac:dyDescent="0.35">
      <c r="A16" s="6"/>
      <c r="B16" s="6"/>
      <c r="C16" s="41"/>
      <c r="D16" s="41"/>
      <c r="E16" s="41"/>
      <c r="F16" s="41"/>
      <c r="G16" s="41"/>
      <c r="H16" s="41"/>
      <c r="I16" s="41"/>
      <c r="J16" s="41"/>
      <c r="K16" s="41"/>
      <c r="L16" s="41"/>
      <c r="M16" s="41"/>
      <c r="N16" s="41"/>
      <c r="O16" s="41"/>
      <c r="P16" s="41"/>
      <c r="Q16" s="41"/>
      <c r="R16" s="41"/>
      <c r="S16" s="6"/>
      <c r="T16" s="6"/>
    </row>
    <row r="17" spans="1:20" x14ac:dyDescent="0.35">
      <c r="A17" s="6"/>
      <c r="B17" s="6"/>
      <c r="C17" s="41"/>
      <c r="D17" s="41"/>
      <c r="E17" s="41"/>
      <c r="F17" s="41"/>
      <c r="G17" s="41"/>
      <c r="H17" s="41"/>
      <c r="I17" s="41"/>
      <c r="J17" s="41"/>
      <c r="K17" s="41"/>
      <c r="L17" s="41"/>
      <c r="M17" s="41"/>
      <c r="N17" s="41"/>
      <c r="O17" s="41"/>
      <c r="P17" s="41"/>
      <c r="Q17" s="41"/>
      <c r="R17" s="41"/>
      <c r="S17" s="6"/>
      <c r="T17" s="6"/>
    </row>
    <row r="18" spans="1:20" x14ac:dyDescent="0.35">
      <c r="A18" s="6"/>
      <c r="B18" s="6"/>
      <c r="C18" s="41"/>
      <c r="D18" s="41"/>
      <c r="E18" s="41"/>
      <c r="F18" s="41"/>
      <c r="G18" s="41"/>
      <c r="H18" s="41"/>
      <c r="I18" s="41"/>
      <c r="J18" s="41"/>
      <c r="K18" s="41"/>
      <c r="L18" s="41"/>
      <c r="M18" s="41"/>
      <c r="N18" s="41"/>
      <c r="O18" s="41"/>
      <c r="P18" s="41"/>
      <c r="Q18" s="41"/>
      <c r="R18" s="41"/>
      <c r="S18" s="6"/>
      <c r="T18" s="6"/>
    </row>
    <row r="19" spans="1:20" x14ac:dyDescent="0.35">
      <c r="A19" s="6"/>
      <c r="B19" s="6"/>
      <c r="C19" s="41"/>
      <c r="D19" s="41"/>
      <c r="E19" s="41"/>
      <c r="F19" s="41"/>
      <c r="G19" s="41"/>
      <c r="H19" s="41"/>
      <c r="I19" s="41"/>
      <c r="J19" s="41"/>
      <c r="K19" s="41"/>
      <c r="L19" s="41"/>
      <c r="M19" s="41"/>
      <c r="N19" s="41"/>
      <c r="O19" s="41"/>
      <c r="P19" s="41"/>
      <c r="Q19" s="41"/>
      <c r="R19" s="41"/>
      <c r="S19" s="6"/>
      <c r="T19" s="6"/>
    </row>
    <row r="20" spans="1:20" x14ac:dyDescent="0.35">
      <c r="A20" s="6"/>
      <c r="B20" s="8"/>
      <c r="C20" s="41"/>
      <c r="D20" s="41"/>
      <c r="E20" s="41"/>
      <c r="F20" s="41"/>
      <c r="G20" s="41"/>
      <c r="H20" s="41"/>
      <c r="I20" s="41"/>
      <c r="J20" s="41"/>
      <c r="K20" s="41"/>
      <c r="L20" s="41"/>
      <c r="M20" s="41"/>
      <c r="N20" s="41"/>
      <c r="O20" s="41"/>
      <c r="P20" s="41"/>
      <c r="Q20" s="41"/>
      <c r="R20" s="41"/>
      <c r="S20" s="8"/>
      <c r="T20" s="8"/>
    </row>
    <row r="21" spans="1:20" ht="21" x14ac:dyDescent="0.35">
      <c r="A21" s="6"/>
      <c r="B21" s="9"/>
      <c r="C21" s="78" t="s">
        <v>32</v>
      </c>
      <c r="D21" s="78"/>
      <c r="E21" s="78"/>
      <c r="F21" s="78"/>
      <c r="G21" s="78"/>
      <c r="H21" s="78"/>
      <c r="I21" s="78"/>
      <c r="J21" s="78"/>
      <c r="K21" s="78"/>
      <c r="L21" s="78"/>
      <c r="M21" s="78"/>
      <c r="N21" s="78"/>
      <c r="O21" s="78"/>
      <c r="P21" s="78"/>
      <c r="Q21" s="78"/>
      <c r="R21" s="78"/>
      <c r="S21" s="9"/>
      <c r="T21" s="9"/>
    </row>
    <row r="22" spans="1:20" x14ac:dyDescent="0.35">
      <c r="A22" s="6"/>
      <c r="B22" s="6"/>
      <c r="S22" s="6"/>
      <c r="T22" s="6"/>
    </row>
    <row r="23" spans="1:20" x14ac:dyDescent="0.35">
      <c r="A23" s="6"/>
      <c r="B23" s="6"/>
      <c r="S23" s="6"/>
      <c r="T23" s="6"/>
    </row>
    <row r="24" spans="1:20" ht="15" thickBot="1" x14ac:dyDescent="0.4">
      <c r="A24" s="6"/>
      <c r="B24" s="6"/>
      <c r="C24" s="77" t="s">
        <v>7</v>
      </c>
      <c r="D24" s="77"/>
      <c r="E24" s="77"/>
      <c r="F24" s="77"/>
      <c r="G24" s="77"/>
      <c r="H24" s="77"/>
      <c r="S24" s="6"/>
      <c r="T24" s="6"/>
    </row>
    <row r="25" spans="1:20" ht="15" thickBot="1" x14ac:dyDescent="0.4">
      <c r="A25" s="6"/>
      <c r="B25" s="6"/>
      <c r="D25" s="80" t="s">
        <v>36</v>
      </c>
      <c r="E25" s="80"/>
      <c r="F25" s="80"/>
      <c r="G25" s="80"/>
      <c r="H25" s="80"/>
      <c r="I25" s="80"/>
      <c r="J25" s="80"/>
      <c r="L25" s="75" t="s">
        <v>8</v>
      </c>
      <c r="M25" s="76"/>
      <c r="S25" s="6"/>
      <c r="T25" s="6"/>
    </row>
    <row r="26" spans="1:20" x14ac:dyDescent="0.35">
      <c r="A26" s="6"/>
      <c r="B26" s="6"/>
      <c r="S26" s="6"/>
      <c r="T26" s="6"/>
    </row>
    <row r="27" spans="1:20" ht="15" thickBot="1" x14ac:dyDescent="0.4">
      <c r="A27" s="6"/>
      <c r="B27" s="6"/>
      <c r="S27" s="6"/>
      <c r="T27" s="6"/>
    </row>
    <row r="28" spans="1:20" ht="14.5" customHeight="1" x14ac:dyDescent="0.35">
      <c r="A28" s="6"/>
      <c r="B28" s="6"/>
      <c r="D28" s="79" t="s">
        <v>50</v>
      </c>
      <c r="E28" s="79"/>
      <c r="F28" s="79"/>
      <c r="G28" s="79"/>
      <c r="H28" s="79"/>
      <c r="I28" s="79"/>
      <c r="J28" s="79"/>
      <c r="K28" s="3"/>
      <c r="L28" s="68">
        <v>0</v>
      </c>
      <c r="M28" s="71" t="s">
        <v>15</v>
      </c>
      <c r="S28" s="6"/>
      <c r="T28" s="6"/>
    </row>
    <row r="29" spans="1:20" ht="15" thickBot="1" x14ac:dyDescent="0.4">
      <c r="A29" s="6"/>
      <c r="B29" s="6"/>
      <c r="D29" s="79"/>
      <c r="E29" s="79"/>
      <c r="F29" s="79"/>
      <c r="G29" s="79"/>
      <c r="H29" s="79"/>
      <c r="I29" s="79"/>
      <c r="J29" s="79"/>
      <c r="K29" s="3"/>
      <c r="L29" s="70"/>
      <c r="M29" s="73"/>
      <c r="S29" s="6"/>
      <c r="T29" s="6"/>
    </row>
    <row r="30" spans="1:20" x14ac:dyDescent="0.35">
      <c r="A30" s="6"/>
      <c r="B30" s="6"/>
      <c r="D30" s="79"/>
      <c r="E30" s="79"/>
      <c r="F30" s="79"/>
      <c r="G30" s="79"/>
      <c r="H30" s="79"/>
      <c r="I30" s="79"/>
      <c r="J30" s="79"/>
      <c r="K30" s="3"/>
      <c r="L30" s="10"/>
      <c r="M30" s="1"/>
      <c r="S30" s="6"/>
      <c r="T30" s="6"/>
    </row>
    <row r="31" spans="1:20" ht="15" thickBot="1" x14ac:dyDescent="0.4">
      <c r="A31" s="6"/>
      <c r="B31" s="6"/>
      <c r="D31" s="5"/>
      <c r="E31" s="5"/>
      <c r="F31" s="5"/>
      <c r="G31" s="5"/>
      <c r="H31" s="5"/>
      <c r="I31" s="5"/>
      <c r="J31" s="5"/>
      <c r="K31" s="3"/>
      <c r="L31" s="10"/>
      <c r="M31" s="1"/>
      <c r="S31" s="6"/>
      <c r="T31" s="6"/>
    </row>
    <row r="32" spans="1:20" x14ac:dyDescent="0.35">
      <c r="A32" s="6"/>
      <c r="B32" s="6"/>
      <c r="D32" s="61" t="s">
        <v>51</v>
      </c>
      <c r="E32" s="61"/>
      <c r="F32" s="61"/>
      <c r="G32" s="61"/>
      <c r="H32" s="61"/>
      <c r="I32" s="61"/>
      <c r="J32" s="61"/>
      <c r="L32" s="62">
        <v>0</v>
      </c>
      <c r="M32" s="63"/>
      <c r="S32" s="6"/>
      <c r="T32" s="6"/>
    </row>
    <row r="33" spans="1:20" x14ac:dyDescent="0.35">
      <c r="A33" s="6"/>
      <c r="B33" s="6"/>
      <c r="D33" s="61"/>
      <c r="E33" s="61"/>
      <c r="F33" s="61"/>
      <c r="G33" s="61"/>
      <c r="H33" s="61"/>
      <c r="I33" s="61"/>
      <c r="J33" s="61"/>
      <c r="L33" s="64"/>
      <c r="M33" s="65"/>
      <c r="S33" s="6"/>
      <c r="T33" s="6"/>
    </row>
    <row r="34" spans="1:20" ht="15" thickBot="1" x14ac:dyDescent="0.4">
      <c r="A34" s="6"/>
      <c r="B34" s="6"/>
      <c r="D34" s="61"/>
      <c r="E34" s="61"/>
      <c r="F34" s="61"/>
      <c r="G34" s="61"/>
      <c r="H34" s="61"/>
      <c r="I34" s="61"/>
      <c r="J34" s="61"/>
      <c r="L34" s="66"/>
      <c r="M34" s="67"/>
      <c r="S34" s="6"/>
      <c r="T34" s="6"/>
    </row>
    <row r="35" spans="1:20" x14ac:dyDescent="0.35">
      <c r="A35" s="6"/>
      <c r="B35" s="6"/>
      <c r="S35" s="6"/>
      <c r="T35" s="6"/>
    </row>
    <row r="36" spans="1:20" x14ac:dyDescent="0.35">
      <c r="A36" s="6"/>
      <c r="B36" s="6"/>
      <c r="S36" s="6"/>
      <c r="T36" s="6"/>
    </row>
    <row r="37" spans="1:20" x14ac:dyDescent="0.35">
      <c r="A37" s="6"/>
      <c r="B37" s="6"/>
      <c r="S37" s="6"/>
      <c r="T37" s="6"/>
    </row>
    <row r="38" spans="1:20" ht="15" thickBot="1" x14ac:dyDescent="0.4">
      <c r="A38" s="6"/>
      <c r="B38" s="6"/>
      <c r="C38" s="84" t="s">
        <v>11</v>
      </c>
      <c r="D38" s="84"/>
      <c r="E38" s="84"/>
      <c r="F38" s="84"/>
      <c r="G38" s="84"/>
      <c r="H38" s="84"/>
      <c r="S38" s="6"/>
      <c r="T38" s="6"/>
    </row>
    <row r="39" spans="1:20" x14ac:dyDescent="0.35">
      <c r="A39" s="6"/>
      <c r="B39" s="6"/>
      <c r="D39" s="79" t="s">
        <v>37</v>
      </c>
      <c r="E39" s="79"/>
      <c r="F39" s="79"/>
      <c r="G39" s="79"/>
      <c r="H39" s="79"/>
      <c r="I39" s="79"/>
      <c r="J39" s="79"/>
      <c r="L39" s="86"/>
      <c r="M39" s="87"/>
      <c r="S39" s="6"/>
      <c r="T39" s="6"/>
    </row>
    <row r="40" spans="1:20" ht="15" thickBot="1" x14ac:dyDescent="0.4">
      <c r="A40" s="6"/>
      <c r="B40" s="6"/>
      <c r="D40" s="79"/>
      <c r="E40" s="79"/>
      <c r="F40" s="79"/>
      <c r="G40" s="79"/>
      <c r="H40" s="79"/>
      <c r="I40" s="79"/>
      <c r="J40" s="79"/>
      <c r="L40" s="88"/>
      <c r="M40" s="89"/>
      <c r="S40" s="6"/>
      <c r="T40" s="6"/>
    </row>
    <row r="41" spans="1:20" x14ac:dyDescent="0.35">
      <c r="A41" s="6"/>
      <c r="B41" s="6"/>
      <c r="S41" s="6"/>
      <c r="T41" s="6"/>
    </row>
    <row r="42" spans="1:20" ht="15" thickBot="1" x14ac:dyDescent="0.4">
      <c r="A42" s="6"/>
      <c r="B42" s="6"/>
      <c r="S42" s="6"/>
      <c r="T42" s="6"/>
    </row>
    <row r="43" spans="1:20" x14ac:dyDescent="0.35">
      <c r="A43" s="6"/>
      <c r="B43" s="6"/>
      <c r="D43" s="5"/>
      <c r="E43" s="5"/>
      <c r="F43" s="5"/>
      <c r="G43" s="5"/>
      <c r="H43" s="85" t="s">
        <v>73</v>
      </c>
      <c r="I43" s="85"/>
      <c r="J43" s="85"/>
      <c r="L43" s="68">
        <v>0</v>
      </c>
      <c r="M43" s="71" t="s">
        <v>15</v>
      </c>
      <c r="S43" s="6"/>
      <c r="T43" s="6"/>
    </row>
    <row r="44" spans="1:20" x14ac:dyDescent="0.35">
      <c r="A44" s="6"/>
      <c r="B44" s="6"/>
      <c r="D44" s="5"/>
      <c r="E44" s="5"/>
      <c r="F44" s="5"/>
      <c r="G44" s="5"/>
      <c r="H44" s="85"/>
      <c r="I44" s="85"/>
      <c r="J44" s="85"/>
      <c r="L44" s="69"/>
      <c r="M44" s="72"/>
      <c r="S44" s="6"/>
      <c r="T44" s="6"/>
    </row>
    <row r="45" spans="1:20" ht="15" thickBot="1" x14ac:dyDescent="0.4">
      <c r="A45" s="6"/>
      <c r="B45" s="6"/>
      <c r="D45" s="5"/>
      <c r="E45" s="5"/>
      <c r="F45" s="5"/>
      <c r="G45" s="5"/>
      <c r="H45" s="85"/>
      <c r="I45" s="85"/>
      <c r="J45" s="85"/>
      <c r="L45" s="70"/>
      <c r="M45" s="73"/>
      <c r="S45" s="6"/>
      <c r="T45" s="6"/>
    </row>
    <row r="46" spans="1:20" x14ac:dyDescent="0.35">
      <c r="A46" s="6"/>
      <c r="B46" s="6"/>
      <c r="S46" s="6"/>
      <c r="T46" s="6"/>
    </row>
    <row r="47" spans="1:20" ht="15" thickBot="1" x14ac:dyDescent="0.4">
      <c r="A47" s="6"/>
      <c r="B47" s="6"/>
      <c r="S47" s="6"/>
      <c r="T47" s="6"/>
    </row>
    <row r="48" spans="1:20" ht="14.5" customHeight="1" x14ac:dyDescent="0.35">
      <c r="A48" s="6"/>
      <c r="B48" s="6"/>
      <c r="D48" s="61" t="s">
        <v>52</v>
      </c>
      <c r="E48" s="61"/>
      <c r="F48" s="61"/>
      <c r="G48" s="61"/>
      <c r="H48" s="61"/>
      <c r="I48" s="61"/>
      <c r="J48" s="61"/>
      <c r="L48" s="62">
        <v>0</v>
      </c>
      <c r="M48" s="63"/>
      <c r="S48" s="6"/>
      <c r="T48" s="6"/>
    </row>
    <row r="49" spans="1:20" x14ac:dyDescent="0.35">
      <c r="A49" s="6"/>
      <c r="B49" s="6"/>
      <c r="D49" s="61"/>
      <c r="E49" s="61"/>
      <c r="F49" s="61"/>
      <c r="G49" s="61"/>
      <c r="H49" s="61"/>
      <c r="I49" s="61"/>
      <c r="J49" s="61"/>
      <c r="L49" s="64"/>
      <c r="M49" s="65"/>
      <c r="S49" s="6"/>
      <c r="T49" s="6"/>
    </row>
    <row r="50" spans="1:20" ht="15" thickBot="1" x14ac:dyDescent="0.4">
      <c r="A50" s="6"/>
      <c r="B50" s="6"/>
      <c r="D50" s="61"/>
      <c r="E50" s="61"/>
      <c r="F50" s="61"/>
      <c r="G50" s="61"/>
      <c r="H50" s="61"/>
      <c r="I50" s="61"/>
      <c r="J50" s="61"/>
      <c r="L50" s="66"/>
      <c r="M50" s="67"/>
      <c r="S50" s="6"/>
      <c r="T50" s="6"/>
    </row>
    <row r="51" spans="1:20" x14ac:dyDescent="0.35">
      <c r="A51" s="6"/>
      <c r="B51" s="6"/>
      <c r="S51" s="6"/>
      <c r="T51" s="6"/>
    </row>
    <row r="52" spans="1:20" ht="15" thickBot="1" x14ac:dyDescent="0.4">
      <c r="A52" s="6"/>
      <c r="B52" s="6"/>
      <c r="S52" s="6"/>
      <c r="T52" s="6"/>
    </row>
    <row r="53" spans="1:20" x14ac:dyDescent="0.35">
      <c r="A53" s="6"/>
      <c r="B53" s="6"/>
      <c r="D53" s="61" t="s">
        <v>53</v>
      </c>
      <c r="E53" s="61"/>
      <c r="F53" s="61"/>
      <c r="G53" s="61"/>
      <c r="H53" s="61"/>
      <c r="I53" s="61"/>
      <c r="J53" s="61"/>
      <c r="L53" s="68">
        <v>0</v>
      </c>
      <c r="M53" s="71" t="s">
        <v>15</v>
      </c>
      <c r="S53" s="6"/>
      <c r="T53" s="6"/>
    </row>
    <row r="54" spans="1:20" ht="16" customHeight="1" x14ac:dyDescent="0.35">
      <c r="A54" s="6"/>
      <c r="B54" s="6"/>
      <c r="D54" s="61"/>
      <c r="E54" s="61"/>
      <c r="F54" s="61"/>
      <c r="G54" s="61"/>
      <c r="H54" s="61"/>
      <c r="I54" s="61"/>
      <c r="J54" s="61"/>
      <c r="L54" s="69"/>
      <c r="M54" s="72"/>
      <c r="S54" s="6"/>
      <c r="T54" s="6"/>
    </row>
    <row r="55" spans="1:20" ht="15" thickBot="1" x14ac:dyDescent="0.4">
      <c r="A55" s="6"/>
      <c r="B55" s="6"/>
      <c r="D55" s="61"/>
      <c r="E55" s="61"/>
      <c r="F55" s="61"/>
      <c r="G55" s="61"/>
      <c r="H55" s="61"/>
      <c r="I55" s="61"/>
      <c r="J55" s="61"/>
      <c r="L55" s="70"/>
      <c r="M55" s="73"/>
      <c r="S55" s="6"/>
      <c r="T55" s="6"/>
    </row>
    <row r="56" spans="1:20" x14ac:dyDescent="0.35">
      <c r="A56" s="6"/>
      <c r="B56" s="6"/>
      <c r="S56" s="6"/>
      <c r="T56" s="6"/>
    </row>
    <row r="57" spans="1:20" x14ac:dyDescent="0.35">
      <c r="A57" s="6"/>
      <c r="B57" s="6"/>
      <c r="C57" s="6"/>
      <c r="D57" s="6"/>
      <c r="E57" s="6"/>
      <c r="F57" s="6"/>
      <c r="G57" s="6"/>
      <c r="H57" s="6"/>
      <c r="I57" s="6"/>
      <c r="J57" s="6"/>
      <c r="K57" s="6"/>
      <c r="L57" s="6"/>
      <c r="M57" s="6"/>
      <c r="N57" s="6"/>
      <c r="O57" s="6"/>
      <c r="P57" s="6"/>
      <c r="Q57" s="6"/>
      <c r="R57" s="6"/>
      <c r="S57" s="6"/>
      <c r="T57" s="6"/>
    </row>
    <row r="58" spans="1:20" x14ac:dyDescent="0.35">
      <c r="A58" s="6"/>
      <c r="B58" s="6"/>
      <c r="C58" s="6"/>
      <c r="D58" s="6"/>
      <c r="E58" s="6"/>
      <c r="F58" s="6"/>
      <c r="G58" s="6"/>
      <c r="H58" s="6"/>
      <c r="I58" s="6"/>
      <c r="J58" s="6"/>
      <c r="K58" s="6"/>
      <c r="L58" s="6"/>
      <c r="M58" s="6"/>
      <c r="N58" s="6"/>
      <c r="O58" s="6"/>
      <c r="P58" s="6"/>
      <c r="Q58" s="6"/>
      <c r="R58" s="6"/>
      <c r="S58" s="6"/>
      <c r="T58" s="6"/>
    </row>
  </sheetData>
  <mergeCells count="22">
    <mergeCell ref="C38:H38"/>
    <mergeCell ref="D39:J40"/>
    <mergeCell ref="L39:M40"/>
    <mergeCell ref="D28:J30"/>
    <mergeCell ref="L28:L29"/>
    <mergeCell ref="M28:M29"/>
    <mergeCell ref="C4:R20"/>
    <mergeCell ref="D32:J34"/>
    <mergeCell ref="L32:M34"/>
    <mergeCell ref="C2:R2"/>
    <mergeCell ref="C21:R21"/>
    <mergeCell ref="C24:H24"/>
    <mergeCell ref="D25:J25"/>
    <mergeCell ref="L25:M25"/>
    <mergeCell ref="H43:J45"/>
    <mergeCell ref="L43:L45"/>
    <mergeCell ref="M43:M45"/>
    <mergeCell ref="D48:J50"/>
    <mergeCell ref="D53:J55"/>
    <mergeCell ref="L48:M50"/>
    <mergeCell ref="L53:L55"/>
    <mergeCell ref="M53:M55"/>
  </mergeCells>
  <conditionalFormatting sqref="L39 L43:M43 L48 L53:M53">
    <cfRule type="expression" dxfId="23" priority="2">
      <formula>$L$39="No"</formula>
    </cfRule>
  </conditionalFormatting>
  <conditionalFormatting sqref="L25:M25">
    <cfRule type="containsText" dxfId="22" priority="6" operator="containsText" text="No">
      <formula>NOT(ISERROR(SEARCH("No",L25)))</formula>
    </cfRule>
  </conditionalFormatting>
  <conditionalFormatting sqref="L28:M29 L32:M34 L48:M50 L53:M55">
    <cfRule type="expression" dxfId="21" priority="5">
      <formula>$L$25="No"</formula>
    </cfRule>
  </conditionalFormatting>
  <conditionalFormatting sqref="L39:M40">
    <cfRule type="containsText" dxfId="20" priority="1" operator="containsText" text="No">
      <formula>NOT(ISERROR(SEARCH("No",L39)))</formula>
    </cfRule>
    <cfRule type="expression" dxfId="19" priority="4">
      <formula>$L$25="No"</formula>
    </cfRule>
  </conditionalFormatting>
  <conditionalFormatting sqref="L43:M43 M44:M45">
    <cfRule type="expression" dxfId="18" priority="3">
      <formula>$L$25="No"</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prompt="If critical products are not needed for core operations, ignore the remaining responses for this tab (they should be blacked out) and omit this section from the final report. " xr:uid="{D87C242B-A2C8-4ACC-9FBB-7CBA0187632C}">
          <x14:formula1>
            <xm:f>'Formulas_Dont Delete'!$AX$1:$AX$3</xm:f>
          </x14:formula1>
          <xm:sqref>L25:M25</xm:sqref>
        </x14:dataValidation>
        <x14:dataValidation type="list" allowBlank="1" showInputMessage="1" showErrorMessage="1" xr:uid="{CFD803CF-E46C-44C1-902C-E4A8ACDD31DB}">
          <x14:formula1>
            <xm:f>'Formulas_Dont Delete'!$AX$1:$AX$3</xm:f>
          </x14:formula1>
          <xm:sqref>L39:M40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5431D-4E73-4C72-980D-2B986E27E029}">
  <sheetPr>
    <tabColor theme="8" tint="0.39997558519241921"/>
  </sheetPr>
  <dimension ref="A1:T60"/>
  <sheetViews>
    <sheetView showGridLines="0" topLeftCell="A2" workbookViewId="0">
      <selection activeCell="N41" sqref="N41"/>
    </sheetView>
  </sheetViews>
  <sheetFormatPr defaultColWidth="0" defaultRowHeight="14.5" zeroHeight="1" x14ac:dyDescent="0.35"/>
  <cols>
    <col min="1" max="1" width="8.7265625" customWidth="1"/>
    <col min="2" max="2" width="2.6328125" customWidth="1"/>
    <col min="3" max="12" width="8.7265625" customWidth="1"/>
    <col min="13" max="13" width="9.54296875" bestFit="1" customWidth="1"/>
    <col min="14" max="18" width="8.7265625" customWidth="1"/>
    <col min="19" max="19" width="2.6328125" customWidth="1"/>
    <col min="20" max="20" width="8.7265625" customWidth="1"/>
    <col min="21" max="16384" width="8.7265625" hidden="1"/>
  </cols>
  <sheetData>
    <row r="1" spans="1:20" ht="12" customHeight="1" x14ac:dyDescent="0.35">
      <c r="A1" s="6"/>
      <c r="B1" s="6"/>
      <c r="C1" s="6"/>
      <c r="D1" s="6"/>
      <c r="E1" s="6"/>
      <c r="F1" s="6"/>
      <c r="G1" s="6"/>
      <c r="H1" s="6"/>
      <c r="I1" s="6"/>
      <c r="J1" s="6"/>
      <c r="K1" s="6"/>
      <c r="L1" s="6"/>
      <c r="M1" s="6"/>
      <c r="N1" s="6"/>
      <c r="O1" s="6"/>
      <c r="P1" s="6"/>
      <c r="Q1" s="6"/>
      <c r="R1" s="6"/>
      <c r="S1" s="6"/>
      <c r="T1" s="6"/>
    </row>
    <row r="2" spans="1:20" ht="29.5" customHeight="1" x14ac:dyDescent="0.35">
      <c r="A2" s="6"/>
      <c r="B2" s="7"/>
      <c r="C2" s="74" t="s">
        <v>5</v>
      </c>
      <c r="D2" s="74"/>
      <c r="E2" s="74"/>
      <c r="F2" s="74"/>
      <c r="G2" s="74"/>
      <c r="H2" s="74"/>
      <c r="I2" s="74"/>
      <c r="J2" s="74"/>
      <c r="K2" s="74"/>
      <c r="L2" s="74"/>
      <c r="M2" s="74"/>
      <c r="N2" s="74"/>
      <c r="O2" s="74"/>
      <c r="P2" s="74"/>
      <c r="Q2" s="74"/>
      <c r="R2" s="74"/>
      <c r="S2" s="7"/>
      <c r="T2" s="7"/>
    </row>
    <row r="3" spans="1:20" ht="10" customHeight="1" x14ac:dyDescent="0.35">
      <c r="A3" s="6"/>
      <c r="B3" s="6"/>
      <c r="C3" s="6"/>
      <c r="D3" s="6"/>
      <c r="E3" s="6"/>
      <c r="F3" s="6"/>
      <c r="G3" s="6"/>
      <c r="H3" s="6"/>
      <c r="I3" s="6"/>
      <c r="J3" s="6"/>
      <c r="K3" s="6"/>
      <c r="L3" s="6"/>
      <c r="M3" s="6"/>
      <c r="N3" s="6"/>
      <c r="O3" s="6"/>
      <c r="P3" s="6"/>
      <c r="Q3" s="6"/>
      <c r="R3" s="6"/>
      <c r="S3" s="6"/>
      <c r="T3" s="6"/>
    </row>
    <row r="4" spans="1:20" x14ac:dyDescent="0.35">
      <c r="A4" s="6"/>
      <c r="B4" s="6"/>
      <c r="C4" s="41"/>
      <c r="D4" s="41"/>
      <c r="E4" s="41"/>
      <c r="F4" s="41"/>
      <c r="G4" s="41"/>
      <c r="H4" s="41"/>
      <c r="I4" s="41"/>
      <c r="J4" s="41"/>
      <c r="K4" s="41"/>
      <c r="L4" s="41"/>
      <c r="M4" s="41"/>
      <c r="N4" s="41"/>
      <c r="O4" s="41"/>
      <c r="P4" s="41"/>
      <c r="Q4" s="41"/>
      <c r="R4" s="41"/>
      <c r="S4" s="6"/>
      <c r="T4" s="6"/>
    </row>
    <row r="5" spans="1:20" x14ac:dyDescent="0.35">
      <c r="A5" s="6"/>
      <c r="B5" s="6"/>
      <c r="C5" s="41"/>
      <c r="D5" s="41"/>
      <c r="E5" s="41"/>
      <c r="F5" s="41"/>
      <c r="G5" s="41"/>
      <c r="H5" s="41"/>
      <c r="I5" s="41"/>
      <c r="J5" s="41"/>
      <c r="K5" s="41"/>
      <c r="L5" s="41"/>
      <c r="M5" s="41"/>
      <c r="N5" s="41"/>
      <c r="O5" s="41"/>
      <c r="P5" s="41"/>
      <c r="Q5" s="41"/>
      <c r="R5" s="41"/>
      <c r="S5" s="6"/>
      <c r="T5" s="6"/>
    </row>
    <row r="6" spans="1:20" x14ac:dyDescent="0.35">
      <c r="A6" s="6"/>
      <c r="B6" s="6"/>
      <c r="C6" s="41"/>
      <c r="D6" s="41"/>
      <c r="E6" s="41"/>
      <c r="F6" s="41"/>
      <c r="G6" s="41"/>
      <c r="H6" s="41"/>
      <c r="I6" s="41"/>
      <c r="J6" s="41"/>
      <c r="K6" s="41"/>
      <c r="L6" s="41"/>
      <c r="M6" s="41"/>
      <c r="N6" s="41"/>
      <c r="O6" s="41"/>
      <c r="P6" s="41"/>
      <c r="Q6" s="41"/>
      <c r="R6" s="41"/>
      <c r="S6" s="6"/>
      <c r="T6" s="6"/>
    </row>
    <row r="7" spans="1:20" x14ac:dyDescent="0.35">
      <c r="A7" s="6"/>
      <c r="B7" s="6"/>
      <c r="C7" s="41"/>
      <c r="D7" s="41"/>
      <c r="E7" s="41"/>
      <c r="F7" s="41"/>
      <c r="G7" s="41"/>
      <c r="H7" s="41"/>
      <c r="I7" s="41"/>
      <c r="J7" s="41"/>
      <c r="K7" s="41"/>
      <c r="L7" s="41"/>
      <c r="M7" s="41"/>
      <c r="N7" s="41"/>
      <c r="O7" s="41"/>
      <c r="P7" s="41"/>
      <c r="Q7" s="41"/>
      <c r="R7" s="41"/>
      <c r="S7" s="6"/>
      <c r="T7" s="6"/>
    </row>
    <row r="8" spans="1:20" x14ac:dyDescent="0.35">
      <c r="A8" s="6"/>
      <c r="B8" s="6"/>
      <c r="C8" s="41"/>
      <c r="D8" s="41"/>
      <c r="E8" s="41"/>
      <c r="F8" s="41"/>
      <c r="G8" s="41"/>
      <c r="H8" s="41"/>
      <c r="I8" s="41"/>
      <c r="J8" s="41"/>
      <c r="K8" s="41"/>
      <c r="L8" s="41"/>
      <c r="M8" s="41"/>
      <c r="N8" s="41"/>
      <c r="O8" s="41"/>
      <c r="P8" s="41"/>
      <c r="Q8" s="41"/>
      <c r="R8" s="41"/>
      <c r="S8" s="6"/>
      <c r="T8" s="6"/>
    </row>
    <row r="9" spans="1:20" x14ac:dyDescent="0.35">
      <c r="A9" s="6"/>
      <c r="B9" s="6"/>
      <c r="C9" s="41"/>
      <c r="D9" s="41"/>
      <c r="E9" s="41"/>
      <c r="F9" s="41"/>
      <c r="G9" s="41"/>
      <c r="H9" s="41"/>
      <c r="I9" s="41"/>
      <c r="J9" s="41"/>
      <c r="K9" s="41"/>
      <c r="L9" s="41"/>
      <c r="M9" s="41"/>
      <c r="N9" s="41"/>
      <c r="O9" s="41"/>
      <c r="P9" s="41"/>
      <c r="Q9" s="41"/>
      <c r="R9" s="41"/>
      <c r="S9" s="6"/>
      <c r="T9" s="6"/>
    </row>
    <row r="10" spans="1:20" x14ac:dyDescent="0.35">
      <c r="A10" s="6"/>
      <c r="B10" s="6"/>
      <c r="C10" s="41"/>
      <c r="D10" s="41"/>
      <c r="E10" s="41"/>
      <c r="F10" s="41"/>
      <c r="G10" s="41"/>
      <c r="H10" s="41"/>
      <c r="I10" s="41"/>
      <c r="J10" s="41"/>
      <c r="K10" s="41"/>
      <c r="L10" s="41"/>
      <c r="M10" s="41"/>
      <c r="N10" s="41"/>
      <c r="O10" s="41"/>
      <c r="P10" s="41"/>
      <c r="Q10" s="41"/>
      <c r="R10" s="41"/>
      <c r="S10" s="6"/>
      <c r="T10" s="6"/>
    </row>
    <row r="11" spans="1:20" x14ac:dyDescent="0.35">
      <c r="A11" s="6"/>
      <c r="B11" s="6"/>
      <c r="C11" s="41"/>
      <c r="D11" s="41"/>
      <c r="E11" s="41"/>
      <c r="F11" s="41"/>
      <c r="G11" s="41"/>
      <c r="H11" s="41"/>
      <c r="I11" s="41"/>
      <c r="J11" s="41"/>
      <c r="K11" s="41"/>
      <c r="L11" s="41"/>
      <c r="M11" s="41"/>
      <c r="N11" s="41"/>
      <c r="O11" s="41"/>
      <c r="P11" s="41"/>
      <c r="Q11" s="41"/>
      <c r="R11" s="41"/>
      <c r="S11" s="6"/>
      <c r="T11" s="6"/>
    </row>
    <row r="12" spans="1:20" x14ac:dyDescent="0.35">
      <c r="A12" s="6"/>
      <c r="B12" s="6"/>
      <c r="C12" s="41"/>
      <c r="D12" s="41"/>
      <c r="E12" s="41"/>
      <c r="F12" s="41"/>
      <c r="G12" s="41"/>
      <c r="H12" s="41"/>
      <c r="I12" s="41"/>
      <c r="J12" s="41"/>
      <c r="K12" s="41"/>
      <c r="L12" s="41"/>
      <c r="M12" s="41"/>
      <c r="N12" s="41"/>
      <c r="O12" s="41"/>
      <c r="P12" s="41"/>
      <c r="Q12" s="41"/>
      <c r="R12" s="41"/>
      <c r="S12" s="6"/>
      <c r="T12" s="6"/>
    </row>
    <row r="13" spans="1:20" x14ac:dyDescent="0.35">
      <c r="A13" s="6"/>
      <c r="B13" s="6"/>
      <c r="C13" s="41"/>
      <c r="D13" s="41"/>
      <c r="E13" s="41"/>
      <c r="F13" s="41"/>
      <c r="G13" s="41"/>
      <c r="H13" s="41"/>
      <c r="I13" s="41"/>
      <c r="J13" s="41"/>
      <c r="K13" s="41"/>
      <c r="L13" s="41"/>
      <c r="M13" s="41"/>
      <c r="N13" s="41"/>
      <c r="O13" s="41"/>
      <c r="P13" s="41"/>
      <c r="Q13" s="41"/>
      <c r="R13" s="41"/>
      <c r="S13" s="6"/>
      <c r="T13" s="6"/>
    </row>
    <row r="14" spans="1:20" x14ac:dyDescent="0.35">
      <c r="A14" s="6"/>
      <c r="B14" s="6"/>
      <c r="C14" s="41"/>
      <c r="D14" s="41"/>
      <c r="E14" s="41"/>
      <c r="F14" s="41"/>
      <c r="G14" s="41"/>
      <c r="H14" s="41"/>
      <c r="I14" s="41"/>
      <c r="J14" s="41"/>
      <c r="K14" s="41"/>
      <c r="L14" s="41"/>
      <c r="M14" s="41"/>
      <c r="N14" s="41"/>
      <c r="O14" s="41"/>
      <c r="P14" s="41"/>
      <c r="Q14" s="41"/>
      <c r="R14" s="41"/>
      <c r="S14" s="6"/>
      <c r="T14" s="6"/>
    </row>
    <row r="15" spans="1:20" x14ac:dyDescent="0.35">
      <c r="A15" s="6"/>
      <c r="B15" s="6"/>
      <c r="C15" s="41"/>
      <c r="D15" s="41"/>
      <c r="E15" s="41"/>
      <c r="F15" s="41"/>
      <c r="G15" s="41"/>
      <c r="H15" s="41"/>
      <c r="I15" s="41"/>
      <c r="J15" s="41"/>
      <c r="K15" s="41"/>
      <c r="L15" s="41"/>
      <c r="M15" s="41"/>
      <c r="N15" s="41"/>
      <c r="O15" s="41"/>
      <c r="P15" s="41"/>
      <c r="Q15" s="41"/>
      <c r="R15" s="41"/>
      <c r="S15" s="6"/>
      <c r="T15" s="6"/>
    </row>
    <row r="16" spans="1:20" x14ac:dyDescent="0.35">
      <c r="A16" s="6"/>
      <c r="B16" s="6"/>
      <c r="C16" s="41"/>
      <c r="D16" s="41"/>
      <c r="E16" s="41"/>
      <c r="F16" s="41"/>
      <c r="G16" s="41"/>
      <c r="H16" s="41"/>
      <c r="I16" s="41"/>
      <c r="J16" s="41"/>
      <c r="K16" s="41"/>
      <c r="L16" s="41"/>
      <c r="M16" s="41"/>
      <c r="N16" s="41"/>
      <c r="O16" s="41"/>
      <c r="P16" s="41"/>
      <c r="Q16" s="41"/>
      <c r="R16" s="41"/>
      <c r="S16" s="6"/>
      <c r="T16" s="6"/>
    </row>
    <row r="17" spans="1:20" x14ac:dyDescent="0.35">
      <c r="A17" s="6"/>
      <c r="B17" s="6"/>
      <c r="C17" s="41"/>
      <c r="D17" s="41"/>
      <c r="E17" s="41"/>
      <c r="F17" s="41"/>
      <c r="G17" s="41"/>
      <c r="H17" s="41"/>
      <c r="I17" s="41"/>
      <c r="J17" s="41"/>
      <c r="K17" s="41"/>
      <c r="L17" s="41"/>
      <c r="M17" s="41"/>
      <c r="N17" s="41"/>
      <c r="O17" s="41"/>
      <c r="P17" s="41"/>
      <c r="Q17" s="41"/>
      <c r="R17" s="41"/>
      <c r="S17" s="6"/>
      <c r="T17" s="6"/>
    </row>
    <row r="18" spans="1:20" x14ac:dyDescent="0.35">
      <c r="A18" s="6"/>
      <c r="B18" s="6"/>
      <c r="C18" s="41"/>
      <c r="D18" s="41"/>
      <c r="E18" s="41"/>
      <c r="F18" s="41"/>
      <c r="G18" s="41"/>
      <c r="H18" s="41"/>
      <c r="I18" s="41"/>
      <c r="J18" s="41"/>
      <c r="K18" s="41"/>
      <c r="L18" s="41"/>
      <c r="M18" s="41"/>
      <c r="N18" s="41"/>
      <c r="O18" s="41"/>
      <c r="P18" s="41"/>
      <c r="Q18" s="41"/>
      <c r="R18" s="41"/>
      <c r="S18" s="6"/>
      <c r="T18" s="6"/>
    </row>
    <row r="19" spans="1:20" x14ac:dyDescent="0.35">
      <c r="A19" s="6"/>
      <c r="B19" s="6"/>
      <c r="C19" s="41"/>
      <c r="D19" s="41"/>
      <c r="E19" s="41"/>
      <c r="F19" s="41"/>
      <c r="G19" s="41"/>
      <c r="H19" s="41"/>
      <c r="I19" s="41"/>
      <c r="J19" s="41"/>
      <c r="K19" s="41"/>
      <c r="L19" s="41"/>
      <c r="M19" s="41"/>
      <c r="N19" s="41"/>
      <c r="O19" s="41"/>
      <c r="P19" s="41"/>
      <c r="Q19" s="41"/>
      <c r="R19" s="41"/>
      <c r="S19" s="6"/>
      <c r="T19" s="6"/>
    </row>
    <row r="20" spans="1:20" x14ac:dyDescent="0.35">
      <c r="A20" s="6"/>
      <c r="B20" s="8"/>
      <c r="C20" s="41"/>
      <c r="D20" s="41"/>
      <c r="E20" s="41"/>
      <c r="F20" s="41"/>
      <c r="G20" s="41"/>
      <c r="H20" s="41"/>
      <c r="I20" s="41"/>
      <c r="J20" s="41"/>
      <c r="K20" s="41"/>
      <c r="L20" s="41"/>
      <c r="M20" s="41"/>
      <c r="N20" s="41"/>
      <c r="O20" s="41"/>
      <c r="P20" s="41"/>
      <c r="Q20" s="41"/>
      <c r="R20" s="41"/>
      <c r="S20" s="8"/>
      <c r="T20" s="8"/>
    </row>
    <row r="21" spans="1:20" ht="21" x14ac:dyDescent="0.35">
      <c r="A21" s="6"/>
      <c r="B21" s="9"/>
      <c r="C21" s="78" t="s">
        <v>28</v>
      </c>
      <c r="D21" s="78"/>
      <c r="E21" s="78"/>
      <c r="F21" s="78"/>
      <c r="G21" s="78"/>
      <c r="H21" s="78"/>
      <c r="I21" s="78"/>
      <c r="J21" s="78"/>
      <c r="K21" s="78"/>
      <c r="L21" s="78"/>
      <c r="M21" s="78"/>
      <c r="N21" s="78"/>
      <c r="O21" s="78"/>
      <c r="P21" s="78"/>
      <c r="Q21" s="78"/>
      <c r="R21" s="78"/>
      <c r="S21" s="9"/>
      <c r="T21" s="9"/>
    </row>
    <row r="22" spans="1:20" x14ac:dyDescent="0.35">
      <c r="A22" s="6"/>
      <c r="B22" s="6"/>
      <c r="S22" s="6"/>
      <c r="T22" s="6"/>
    </row>
    <row r="23" spans="1:20" x14ac:dyDescent="0.35">
      <c r="A23" s="6"/>
      <c r="B23" s="6"/>
      <c r="S23" s="6"/>
      <c r="T23" s="6"/>
    </row>
    <row r="24" spans="1:20" ht="15" thickBot="1" x14ac:dyDescent="0.4">
      <c r="A24" s="6"/>
      <c r="B24" s="6"/>
      <c r="C24" s="77" t="s">
        <v>7</v>
      </c>
      <c r="D24" s="77"/>
      <c r="E24" s="77"/>
      <c r="F24" s="77"/>
      <c r="G24" s="77"/>
      <c r="H24" s="77"/>
      <c r="S24" s="6"/>
      <c r="T24" s="6"/>
    </row>
    <row r="25" spans="1:20" ht="15" thickBot="1" x14ac:dyDescent="0.4">
      <c r="A25" s="6"/>
      <c r="B25" s="6"/>
      <c r="D25" s="79" t="s">
        <v>54</v>
      </c>
      <c r="E25" s="79"/>
      <c r="F25" s="79"/>
      <c r="G25" s="79"/>
      <c r="H25" s="79"/>
      <c r="I25" s="79"/>
      <c r="J25" s="79"/>
      <c r="L25" s="75" t="s">
        <v>1</v>
      </c>
      <c r="M25" s="76"/>
      <c r="S25" s="6"/>
      <c r="T25" s="6"/>
    </row>
    <row r="26" spans="1:20" x14ac:dyDescent="0.35">
      <c r="A26" s="6"/>
      <c r="B26" s="6"/>
      <c r="D26" s="79"/>
      <c r="E26" s="79"/>
      <c r="F26" s="79"/>
      <c r="G26" s="79"/>
      <c r="H26" s="79"/>
      <c r="I26" s="79"/>
      <c r="J26" s="79"/>
      <c r="S26" s="6"/>
      <c r="T26" s="6"/>
    </row>
    <row r="27" spans="1:20" ht="15" thickBot="1" x14ac:dyDescent="0.4">
      <c r="A27" s="6"/>
      <c r="B27" s="6"/>
      <c r="S27" s="6"/>
      <c r="T27" s="6"/>
    </row>
    <row r="28" spans="1:20" ht="14.5" customHeight="1" x14ac:dyDescent="0.35">
      <c r="A28" s="6"/>
      <c r="B28" s="6"/>
      <c r="D28" s="61" t="s">
        <v>55</v>
      </c>
      <c r="E28" s="61"/>
      <c r="F28" s="61"/>
      <c r="G28" s="61"/>
      <c r="H28" s="61"/>
      <c r="I28" s="61"/>
      <c r="J28" s="61"/>
      <c r="K28" s="3"/>
      <c r="L28" s="68">
        <v>2</v>
      </c>
      <c r="M28" s="71" t="s">
        <v>15</v>
      </c>
      <c r="S28" s="6"/>
      <c r="T28" s="6"/>
    </row>
    <row r="29" spans="1:20" ht="15" thickBot="1" x14ac:dyDescent="0.4">
      <c r="A29" s="6"/>
      <c r="B29" s="6"/>
      <c r="D29" s="61"/>
      <c r="E29" s="61"/>
      <c r="F29" s="61"/>
      <c r="G29" s="61"/>
      <c r="H29" s="61"/>
      <c r="I29" s="61"/>
      <c r="J29" s="61"/>
      <c r="K29" s="3"/>
      <c r="L29" s="70"/>
      <c r="M29" s="73"/>
      <c r="S29" s="6"/>
      <c r="T29" s="6"/>
    </row>
    <row r="30" spans="1:20" x14ac:dyDescent="0.35">
      <c r="A30" s="6"/>
      <c r="B30" s="6"/>
      <c r="D30" s="61"/>
      <c r="E30" s="61"/>
      <c r="F30" s="61"/>
      <c r="G30" s="61"/>
      <c r="H30" s="61"/>
      <c r="I30" s="61"/>
      <c r="J30" s="61"/>
      <c r="K30" s="3"/>
      <c r="L30" s="10"/>
      <c r="M30" s="1"/>
      <c r="S30" s="6"/>
      <c r="T30" s="6"/>
    </row>
    <row r="31" spans="1:20" ht="15" thickBot="1" x14ac:dyDescent="0.4">
      <c r="A31" s="6"/>
      <c r="B31" s="6"/>
      <c r="D31" s="5"/>
      <c r="E31" s="5"/>
      <c r="F31" s="5"/>
      <c r="G31" s="5"/>
      <c r="H31" s="5"/>
      <c r="I31" s="5"/>
      <c r="J31" s="5"/>
      <c r="K31" s="3"/>
      <c r="L31" s="10"/>
      <c r="M31" s="1"/>
      <c r="S31" s="6"/>
      <c r="T31" s="6"/>
    </row>
    <row r="32" spans="1:20" x14ac:dyDescent="0.35">
      <c r="A32" s="6"/>
      <c r="B32" s="6"/>
      <c r="D32" s="61" t="s">
        <v>56</v>
      </c>
      <c r="E32" s="61"/>
      <c r="F32" s="61"/>
      <c r="G32" s="61"/>
      <c r="H32" s="61"/>
      <c r="I32" s="61"/>
      <c r="J32" s="61"/>
      <c r="L32" s="62">
        <v>0.45</v>
      </c>
      <c r="M32" s="63"/>
      <c r="S32" s="6"/>
      <c r="T32" s="6"/>
    </row>
    <row r="33" spans="1:20" x14ac:dyDescent="0.35">
      <c r="A33" s="6"/>
      <c r="B33" s="6"/>
      <c r="D33" s="61"/>
      <c r="E33" s="61"/>
      <c r="F33" s="61"/>
      <c r="G33" s="61"/>
      <c r="H33" s="61"/>
      <c r="I33" s="61"/>
      <c r="J33" s="61"/>
      <c r="L33" s="64"/>
      <c r="M33" s="65"/>
      <c r="S33" s="6"/>
      <c r="T33" s="6"/>
    </row>
    <row r="34" spans="1:20" ht="15" thickBot="1" x14ac:dyDescent="0.4">
      <c r="A34" s="6"/>
      <c r="B34" s="6"/>
      <c r="D34" s="61"/>
      <c r="E34" s="61"/>
      <c r="F34" s="61"/>
      <c r="G34" s="61"/>
      <c r="H34" s="61"/>
      <c r="I34" s="61"/>
      <c r="J34" s="61"/>
      <c r="L34" s="66"/>
      <c r="M34" s="67"/>
      <c r="S34" s="6"/>
      <c r="T34" s="6"/>
    </row>
    <row r="35" spans="1:20" x14ac:dyDescent="0.35">
      <c r="A35" s="6"/>
      <c r="B35" s="6"/>
      <c r="S35" s="6"/>
      <c r="T35" s="6"/>
    </row>
    <row r="36" spans="1:20" x14ac:dyDescent="0.35">
      <c r="A36" s="6"/>
      <c r="B36" s="6"/>
      <c r="S36" s="6"/>
      <c r="T36" s="6"/>
    </row>
    <row r="37" spans="1:20" x14ac:dyDescent="0.35">
      <c r="A37" s="6"/>
      <c r="B37" s="6"/>
      <c r="S37" s="6"/>
      <c r="T37" s="6"/>
    </row>
    <row r="38" spans="1:20" ht="15" thickBot="1" x14ac:dyDescent="0.4">
      <c r="A38" s="6"/>
      <c r="B38" s="6"/>
      <c r="C38" s="84" t="s">
        <v>11</v>
      </c>
      <c r="D38" s="84"/>
      <c r="E38" s="84"/>
      <c r="F38" s="84"/>
      <c r="G38" s="84"/>
      <c r="H38" s="84"/>
      <c r="S38" s="6"/>
      <c r="T38" s="6"/>
    </row>
    <row r="39" spans="1:20" x14ac:dyDescent="0.35">
      <c r="A39" s="6"/>
      <c r="B39" s="6"/>
      <c r="D39" s="79" t="s">
        <v>57</v>
      </c>
      <c r="E39" s="79"/>
      <c r="F39" s="79"/>
      <c r="G39" s="79"/>
      <c r="H39" s="79"/>
      <c r="I39" s="79"/>
      <c r="J39" s="79"/>
      <c r="L39" s="86" t="s">
        <v>8</v>
      </c>
      <c r="M39" s="87"/>
      <c r="S39" s="6"/>
      <c r="T39" s="6"/>
    </row>
    <row r="40" spans="1:20" ht="15" thickBot="1" x14ac:dyDescent="0.4">
      <c r="A40" s="6"/>
      <c r="B40" s="6"/>
      <c r="D40" s="79"/>
      <c r="E40" s="79"/>
      <c r="F40" s="79"/>
      <c r="G40" s="79"/>
      <c r="H40" s="79"/>
      <c r="I40" s="79"/>
      <c r="J40" s="79"/>
      <c r="L40" s="88"/>
      <c r="M40" s="89"/>
      <c r="S40" s="6"/>
      <c r="T40" s="6"/>
    </row>
    <row r="41" spans="1:20" x14ac:dyDescent="0.35">
      <c r="A41" s="6"/>
      <c r="B41" s="6"/>
      <c r="D41" s="5"/>
      <c r="E41" s="5"/>
      <c r="F41" s="5"/>
      <c r="G41" s="5"/>
      <c r="H41" s="5"/>
      <c r="I41" s="5"/>
      <c r="J41" s="5"/>
      <c r="L41" s="35"/>
      <c r="M41" s="35"/>
      <c r="S41" s="6"/>
      <c r="T41" s="6"/>
    </row>
    <row r="42" spans="1:20" ht="15" thickBot="1" x14ac:dyDescent="0.4">
      <c r="A42" s="6"/>
      <c r="B42" s="6"/>
      <c r="D42" s="5"/>
      <c r="E42" s="5"/>
      <c r="F42" s="5"/>
      <c r="G42" s="5"/>
      <c r="H42" s="5"/>
      <c r="I42" s="5"/>
      <c r="J42" s="5"/>
      <c r="L42" s="35"/>
      <c r="M42" s="35"/>
      <c r="S42" s="6"/>
      <c r="T42" s="6"/>
    </row>
    <row r="43" spans="1:20" ht="14.5" customHeight="1" x14ac:dyDescent="0.35">
      <c r="A43" s="6"/>
      <c r="B43" s="6"/>
      <c r="D43" s="5"/>
      <c r="E43" s="5"/>
      <c r="F43" s="5"/>
      <c r="G43" s="5"/>
      <c r="H43" s="85" t="s">
        <v>73</v>
      </c>
      <c r="I43" s="85"/>
      <c r="J43" s="85"/>
      <c r="L43" s="68">
        <v>0</v>
      </c>
      <c r="M43" s="71" t="s">
        <v>15</v>
      </c>
      <c r="S43" s="6"/>
      <c r="T43" s="6"/>
    </row>
    <row r="44" spans="1:20" x14ac:dyDescent="0.35">
      <c r="A44" s="6"/>
      <c r="B44" s="6"/>
      <c r="D44" s="5"/>
      <c r="E44" s="5"/>
      <c r="F44" s="5"/>
      <c r="G44" s="5"/>
      <c r="H44" s="85"/>
      <c r="I44" s="85"/>
      <c r="J44" s="85"/>
      <c r="L44" s="69"/>
      <c r="M44" s="72"/>
      <c r="S44" s="6"/>
      <c r="T44" s="6"/>
    </row>
    <row r="45" spans="1:20" ht="15" thickBot="1" x14ac:dyDescent="0.4">
      <c r="A45" s="6"/>
      <c r="B45" s="6"/>
      <c r="D45" s="5"/>
      <c r="E45" s="5"/>
      <c r="F45" s="5"/>
      <c r="G45" s="5"/>
      <c r="H45" s="85"/>
      <c r="I45" s="85"/>
      <c r="J45" s="85"/>
      <c r="L45" s="70"/>
      <c r="M45" s="73"/>
      <c r="S45" s="6"/>
      <c r="T45" s="6"/>
    </row>
    <row r="46" spans="1:20" x14ac:dyDescent="0.35">
      <c r="A46" s="6"/>
      <c r="B46" s="6"/>
      <c r="D46" s="5"/>
      <c r="E46" s="5"/>
      <c r="F46" s="5"/>
      <c r="G46" s="5"/>
      <c r="S46" s="6"/>
      <c r="T46" s="6"/>
    </row>
    <row r="47" spans="1:20" x14ac:dyDescent="0.35">
      <c r="A47" s="6"/>
      <c r="B47" s="6"/>
      <c r="S47" s="6"/>
      <c r="T47" s="6"/>
    </row>
    <row r="48" spans="1:20" ht="15" customHeight="1" x14ac:dyDescent="0.35">
      <c r="A48" s="6"/>
      <c r="B48" s="6"/>
      <c r="S48" s="6"/>
      <c r="T48" s="6"/>
    </row>
    <row r="49" spans="1:20" ht="15" thickBot="1" x14ac:dyDescent="0.4">
      <c r="A49" s="6"/>
      <c r="B49" s="6"/>
      <c r="S49" s="6"/>
      <c r="T49" s="6"/>
    </row>
    <row r="50" spans="1:20" ht="14.5" customHeight="1" x14ac:dyDescent="0.35">
      <c r="A50" s="6"/>
      <c r="B50" s="6"/>
      <c r="D50" s="61" t="s">
        <v>58</v>
      </c>
      <c r="E50" s="61"/>
      <c r="F50" s="61"/>
      <c r="G50" s="61"/>
      <c r="H50" s="61"/>
      <c r="I50" s="61"/>
      <c r="J50" s="61"/>
      <c r="L50" s="62">
        <v>0</v>
      </c>
      <c r="M50" s="63"/>
      <c r="S50" s="6"/>
      <c r="T50" s="6"/>
    </row>
    <row r="51" spans="1:20" x14ac:dyDescent="0.35">
      <c r="A51" s="6"/>
      <c r="B51" s="6"/>
      <c r="D51" s="61"/>
      <c r="E51" s="61"/>
      <c r="F51" s="61"/>
      <c r="G51" s="61"/>
      <c r="H51" s="61"/>
      <c r="I51" s="61"/>
      <c r="J51" s="61"/>
      <c r="L51" s="64"/>
      <c r="M51" s="65"/>
      <c r="S51" s="6"/>
      <c r="T51" s="6"/>
    </row>
    <row r="52" spans="1:20" ht="15" thickBot="1" x14ac:dyDescent="0.4">
      <c r="A52" s="6"/>
      <c r="B52" s="6"/>
      <c r="D52" s="61"/>
      <c r="E52" s="61"/>
      <c r="F52" s="61"/>
      <c r="G52" s="61"/>
      <c r="H52" s="61"/>
      <c r="I52" s="61"/>
      <c r="J52" s="61"/>
      <c r="L52" s="66"/>
      <c r="M52" s="67"/>
      <c r="S52" s="6"/>
      <c r="T52" s="6"/>
    </row>
    <row r="53" spans="1:20" x14ac:dyDescent="0.35">
      <c r="A53" s="6"/>
      <c r="B53" s="6"/>
      <c r="S53" s="6"/>
      <c r="T53" s="6"/>
    </row>
    <row r="54" spans="1:20" ht="15" thickBot="1" x14ac:dyDescent="0.4">
      <c r="A54" s="6"/>
      <c r="B54" s="6"/>
      <c r="S54" s="6"/>
      <c r="T54" s="6"/>
    </row>
    <row r="55" spans="1:20" x14ac:dyDescent="0.35">
      <c r="A55" s="6"/>
      <c r="B55" s="6"/>
      <c r="D55" s="61" t="s">
        <v>16</v>
      </c>
      <c r="E55" s="61"/>
      <c r="F55" s="61"/>
      <c r="G55" s="61"/>
      <c r="H55" s="61"/>
      <c r="I55" s="61"/>
      <c r="J55" s="61"/>
      <c r="L55" s="68">
        <v>1</v>
      </c>
      <c r="M55" s="71" t="s">
        <v>15</v>
      </c>
      <c r="S55" s="6"/>
      <c r="T55" s="6"/>
    </row>
    <row r="56" spans="1:20" ht="16" customHeight="1" x14ac:dyDescent="0.35">
      <c r="A56" s="6"/>
      <c r="B56" s="6"/>
      <c r="D56" s="61"/>
      <c r="E56" s="61"/>
      <c r="F56" s="61"/>
      <c r="G56" s="61"/>
      <c r="H56" s="61"/>
      <c r="I56" s="61"/>
      <c r="J56" s="61"/>
      <c r="L56" s="69"/>
      <c r="M56" s="72"/>
      <c r="S56" s="6"/>
      <c r="T56" s="6"/>
    </row>
    <row r="57" spans="1:20" ht="15" thickBot="1" x14ac:dyDescent="0.4">
      <c r="A57" s="6"/>
      <c r="B57" s="6"/>
      <c r="D57" s="61"/>
      <c r="E57" s="61"/>
      <c r="F57" s="61"/>
      <c r="G57" s="61"/>
      <c r="H57" s="61"/>
      <c r="I57" s="61"/>
      <c r="J57" s="61"/>
      <c r="L57" s="70"/>
      <c r="M57" s="73"/>
      <c r="S57" s="6"/>
      <c r="T57" s="6"/>
    </row>
    <row r="58" spans="1:20" x14ac:dyDescent="0.35">
      <c r="A58" s="6"/>
      <c r="B58" s="6"/>
      <c r="S58" s="6"/>
      <c r="T58" s="6"/>
    </row>
    <row r="59" spans="1:20" x14ac:dyDescent="0.35">
      <c r="A59" s="6"/>
      <c r="B59" s="6"/>
      <c r="C59" s="6"/>
      <c r="D59" s="6"/>
      <c r="E59" s="6"/>
      <c r="F59" s="6"/>
      <c r="G59" s="6"/>
      <c r="H59" s="6"/>
      <c r="I59" s="6"/>
      <c r="J59" s="6"/>
      <c r="K59" s="6"/>
      <c r="L59" s="6"/>
      <c r="M59" s="6"/>
      <c r="N59" s="6"/>
      <c r="O59" s="6"/>
      <c r="P59" s="6"/>
      <c r="Q59" s="6"/>
      <c r="R59" s="6"/>
      <c r="S59" s="6"/>
      <c r="T59" s="6"/>
    </row>
    <row r="60" spans="1:20" hidden="1" x14ac:dyDescent="0.35">
      <c r="A60" s="6"/>
      <c r="B60" s="6"/>
      <c r="C60" s="6"/>
      <c r="D60" s="6"/>
      <c r="E60" s="6"/>
      <c r="F60" s="6"/>
      <c r="G60" s="6"/>
      <c r="H60" s="6"/>
      <c r="I60" s="6"/>
      <c r="J60" s="6"/>
      <c r="K60" s="6"/>
      <c r="L60" s="6"/>
      <c r="M60" s="6"/>
      <c r="N60" s="6"/>
      <c r="O60" s="6"/>
      <c r="P60" s="6"/>
      <c r="Q60" s="6"/>
      <c r="R60" s="6"/>
      <c r="S60" s="6"/>
      <c r="T60" s="6"/>
    </row>
  </sheetData>
  <mergeCells count="22">
    <mergeCell ref="C38:H38"/>
    <mergeCell ref="M43:M45"/>
    <mergeCell ref="H43:J45"/>
    <mergeCell ref="L43:L45"/>
    <mergeCell ref="C2:R2"/>
    <mergeCell ref="C4:R20"/>
    <mergeCell ref="C21:R21"/>
    <mergeCell ref="C24:H24"/>
    <mergeCell ref="L25:M25"/>
    <mergeCell ref="D25:J26"/>
    <mergeCell ref="D28:J30"/>
    <mergeCell ref="L28:L29"/>
    <mergeCell ref="M28:M29"/>
    <mergeCell ref="D32:J34"/>
    <mergeCell ref="L32:M34"/>
    <mergeCell ref="D55:J57"/>
    <mergeCell ref="L55:L57"/>
    <mergeCell ref="M55:M57"/>
    <mergeCell ref="D39:J40"/>
    <mergeCell ref="L39:M40"/>
    <mergeCell ref="D50:J52"/>
    <mergeCell ref="L50:M52"/>
  </mergeCells>
  <conditionalFormatting sqref="L25 L39">
    <cfRule type="containsText" dxfId="17" priority="2" operator="containsText" text="No">
      <formula>NOT(ISERROR(SEARCH("No",L25)))</formula>
    </cfRule>
  </conditionalFormatting>
  <conditionalFormatting sqref="L28:M29 L32 L39 L43:M45 L50 L55:M55">
    <cfRule type="expression" dxfId="16" priority="3">
      <formula>$L$25="No"</formula>
    </cfRule>
  </conditionalFormatting>
  <conditionalFormatting sqref="L43:M45 L50">
    <cfRule type="expression" dxfId="15" priority="1">
      <formula>$L$39="No"</formula>
    </cfRule>
  </conditionalFormatting>
  <dataValidations count="2">
    <dataValidation allowBlank="1" showInputMessage="1" showErrorMessage="1" prompt="By definition for the methodology, if the facility does not have any external source of water, the facility is not considered dependent on water" sqref="D25:J26" xr:uid="{8CC9CEC4-C1A5-4320-8856-F842EC6D99FD}"/>
    <dataValidation allowBlank="1" showInputMessage="1" showErrorMessage="1" prompt="This information should take into account internal sources or any other alternatives at the disposal of the facility for supplying water in case of failure of the primary external source." sqref="D50:J52" xr:uid="{6C7739E7-8DC1-4613-97E9-F77EB88462DD}"/>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prompt="If water is not needed for core operations, ignore the remaining responses for this tab (they should be blacked out) and omit this section from the final report. " xr:uid="{05C926F8-79A3-4C42-94AE-F1BDC7E04AFB}">
          <x14:formula1>
            <xm:f>'Formulas_Dont Delete'!$AX$1:$AX$3</xm:f>
          </x14:formula1>
          <xm:sqref>L25:M25</xm:sqref>
        </x14:dataValidation>
        <x14:dataValidation type="list" allowBlank="1" showInputMessage="1" showErrorMessage="1" xr:uid="{0EFBB6D3-A33A-4934-823B-D795AF683CF2}">
          <x14:formula1>
            <xm:f>'Formulas_Dont Delete'!$AX$1:$AX$3</xm:f>
          </x14:formula1>
          <xm:sqref>L39:M42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97438-BCDE-4D59-9D02-36447F1423E9}">
  <sheetPr>
    <tabColor theme="4" tint="-0.249977111117893"/>
  </sheetPr>
  <dimension ref="A1:T58"/>
  <sheetViews>
    <sheetView showGridLines="0" tabSelected="1" topLeftCell="A6" zoomScale="110" zoomScaleNormal="110" workbookViewId="0">
      <selection activeCell="L39" sqref="L39:M40"/>
    </sheetView>
  </sheetViews>
  <sheetFormatPr defaultColWidth="0" defaultRowHeight="14.5" zeroHeight="1" x14ac:dyDescent="0.35"/>
  <cols>
    <col min="1" max="1" width="8.7265625" customWidth="1"/>
    <col min="2" max="2" width="2.6328125" customWidth="1"/>
    <col min="3" max="12" width="8.7265625" customWidth="1"/>
    <col min="13" max="13" width="9.54296875" bestFit="1" customWidth="1"/>
    <col min="14" max="18" width="8.7265625" customWidth="1"/>
    <col min="19" max="19" width="2.6328125" customWidth="1"/>
    <col min="20" max="20" width="8.7265625" customWidth="1"/>
    <col min="21" max="16384" width="8.7265625" hidden="1"/>
  </cols>
  <sheetData>
    <row r="1" spans="1:20" ht="12" customHeight="1" x14ac:dyDescent="0.35">
      <c r="A1" s="6"/>
      <c r="B1" s="6"/>
      <c r="C1" s="6"/>
      <c r="D1" s="6"/>
      <c r="E1" s="6"/>
      <c r="F1" s="6"/>
      <c r="G1" s="6"/>
      <c r="H1" s="6"/>
      <c r="I1" s="6"/>
      <c r="J1" s="6"/>
      <c r="K1" s="6"/>
      <c r="L1" s="6"/>
      <c r="M1" s="6"/>
      <c r="N1" s="6"/>
      <c r="O1" s="6"/>
      <c r="P1" s="6"/>
      <c r="Q1" s="6"/>
      <c r="R1" s="6"/>
      <c r="S1" s="6"/>
      <c r="T1" s="6"/>
    </row>
    <row r="2" spans="1:20" ht="29.5" customHeight="1" x14ac:dyDescent="0.35">
      <c r="A2" s="6"/>
      <c r="B2" s="7"/>
      <c r="C2" s="74" t="s">
        <v>5</v>
      </c>
      <c r="D2" s="74"/>
      <c r="E2" s="74"/>
      <c r="F2" s="74"/>
      <c r="G2" s="74"/>
      <c r="H2" s="74"/>
      <c r="I2" s="74"/>
      <c r="J2" s="74"/>
      <c r="K2" s="74"/>
      <c r="L2" s="74"/>
      <c r="M2" s="74"/>
      <c r="N2" s="74"/>
      <c r="O2" s="74"/>
      <c r="P2" s="74"/>
      <c r="Q2" s="74"/>
      <c r="R2" s="74"/>
      <c r="S2" s="7"/>
      <c r="T2" s="7"/>
    </row>
    <row r="3" spans="1:20" ht="10" customHeight="1" x14ac:dyDescent="0.35">
      <c r="A3" s="6"/>
      <c r="B3" s="6"/>
      <c r="C3" s="6"/>
      <c r="D3" s="6"/>
      <c r="E3" s="6"/>
      <c r="F3" s="6"/>
      <c r="G3" s="6"/>
      <c r="H3" s="6"/>
      <c r="I3" s="6"/>
      <c r="J3" s="6"/>
      <c r="K3" s="6"/>
      <c r="L3" s="6"/>
      <c r="M3" s="6"/>
      <c r="N3" s="6"/>
      <c r="O3" s="6"/>
      <c r="P3" s="6"/>
      <c r="Q3" s="6"/>
      <c r="R3" s="6"/>
      <c r="S3" s="6"/>
      <c r="T3" s="6"/>
    </row>
    <row r="4" spans="1:20" x14ac:dyDescent="0.35">
      <c r="A4" s="6"/>
      <c r="B4" s="6"/>
      <c r="C4" s="41"/>
      <c r="D4" s="41"/>
      <c r="E4" s="41"/>
      <c r="F4" s="41"/>
      <c r="G4" s="41"/>
      <c r="H4" s="41"/>
      <c r="I4" s="41"/>
      <c r="J4" s="41"/>
      <c r="K4" s="41"/>
      <c r="L4" s="41"/>
      <c r="M4" s="41"/>
      <c r="N4" s="41"/>
      <c r="O4" s="41"/>
      <c r="P4" s="41"/>
      <c r="Q4" s="41"/>
      <c r="R4" s="41"/>
      <c r="S4" s="6"/>
      <c r="T4" s="6"/>
    </row>
    <row r="5" spans="1:20" x14ac:dyDescent="0.35">
      <c r="A5" s="6"/>
      <c r="B5" s="6"/>
      <c r="C5" s="41"/>
      <c r="D5" s="41"/>
      <c r="E5" s="41"/>
      <c r="F5" s="41"/>
      <c r="G5" s="41"/>
      <c r="H5" s="41"/>
      <c r="I5" s="41"/>
      <c r="J5" s="41"/>
      <c r="K5" s="41"/>
      <c r="L5" s="41"/>
      <c r="M5" s="41"/>
      <c r="N5" s="41"/>
      <c r="O5" s="41"/>
      <c r="P5" s="41"/>
      <c r="Q5" s="41"/>
      <c r="R5" s="41"/>
      <c r="S5" s="6"/>
      <c r="T5" s="6"/>
    </row>
    <row r="6" spans="1:20" x14ac:dyDescent="0.35">
      <c r="A6" s="6"/>
      <c r="B6" s="6"/>
      <c r="C6" s="41"/>
      <c r="D6" s="41"/>
      <c r="E6" s="41"/>
      <c r="F6" s="41"/>
      <c r="G6" s="41"/>
      <c r="H6" s="41"/>
      <c r="I6" s="41"/>
      <c r="J6" s="41"/>
      <c r="K6" s="41"/>
      <c r="L6" s="41"/>
      <c r="M6" s="41"/>
      <c r="N6" s="41"/>
      <c r="O6" s="41"/>
      <c r="P6" s="41"/>
      <c r="Q6" s="41"/>
      <c r="R6" s="41"/>
      <c r="S6" s="6"/>
      <c r="T6" s="6"/>
    </row>
    <row r="7" spans="1:20" x14ac:dyDescent="0.35">
      <c r="A7" s="6"/>
      <c r="B7" s="6"/>
      <c r="C7" s="41"/>
      <c r="D7" s="41"/>
      <c r="E7" s="41"/>
      <c r="F7" s="41"/>
      <c r="G7" s="41"/>
      <c r="H7" s="41"/>
      <c r="I7" s="41"/>
      <c r="J7" s="41"/>
      <c r="K7" s="41"/>
      <c r="L7" s="41"/>
      <c r="M7" s="41"/>
      <c r="N7" s="41"/>
      <c r="O7" s="41"/>
      <c r="P7" s="41"/>
      <c r="Q7" s="41"/>
      <c r="R7" s="41"/>
      <c r="S7" s="6"/>
      <c r="T7" s="6"/>
    </row>
    <row r="8" spans="1:20" x14ac:dyDescent="0.35">
      <c r="A8" s="6"/>
      <c r="B8" s="6"/>
      <c r="C8" s="41"/>
      <c r="D8" s="41"/>
      <c r="E8" s="41"/>
      <c r="F8" s="41"/>
      <c r="G8" s="41"/>
      <c r="H8" s="41"/>
      <c r="I8" s="41"/>
      <c r="J8" s="41"/>
      <c r="K8" s="41"/>
      <c r="L8" s="41"/>
      <c r="M8" s="41"/>
      <c r="N8" s="41"/>
      <c r="O8" s="41"/>
      <c r="P8" s="41"/>
      <c r="Q8" s="41"/>
      <c r="R8" s="41"/>
      <c r="S8" s="6"/>
      <c r="T8" s="6"/>
    </row>
    <row r="9" spans="1:20" x14ac:dyDescent="0.35">
      <c r="A9" s="6"/>
      <c r="B9" s="6"/>
      <c r="C9" s="41"/>
      <c r="D9" s="41"/>
      <c r="E9" s="41"/>
      <c r="F9" s="41"/>
      <c r="G9" s="41"/>
      <c r="H9" s="41"/>
      <c r="I9" s="41"/>
      <c r="J9" s="41"/>
      <c r="K9" s="41"/>
      <c r="L9" s="41"/>
      <c r="M9" s="41"/>
      <c r="N9" s="41"/>
      <c r="O9" s="41"/>
      <c r="P9" s="41"/>
      <c r="Q9" s="41"/>
      <c r="R9" s="41"/>
      <c r="S9" s="6"/>
      <c r="T9" s="6"/>
    </row>
    <row r="10" spans="1:20" x14ac:dyDescent="0.35">
      <c r="A10" s="6"/>
      <c r="B10" s="6"/>
      <c r="C10" s="41"/>
      <c r="D10" s="41"/>
      <c r="E10" s="41"/>
      <c r="F10" s="41"/>
      <c r="G10" s="41"/>
      <c r="H10" s="41"/>
      <c r="I10" s="41"/>
      <c r="J10" s="41"/>
      <c r="K10" s="41"/>
      <c r="L10" s="41"/>
      <c r="M10" s="41"/>
      <c r="N10" s="41"/>
      <c r="O10" s="41"/>
      <c r="P10" s="41"/>
      <c r="Q10" s="41"/>
      <c r="R10" s="41"/>
      <c r="S10" s="6"/>
      <c r="T10" s="6"/>
    </row>
    <row r="11" spans="1:20" x14ac:dyDescent="0.35">
      <c r="A11" s="6"/>
      <c r="B11" s="6"/>
      <c r="C11" s="41"/>
      <c r="D11" s="41"/>
      <c r="E11" s="41"/>
      <c r="F11" s="41"/>
      <c r="G11" s="41"/>
      <c r="H11" s="41"/>
      <c r="I11" s="41"/>
      <c r="J11" s="41"/>
      <c r="K11" s="41"/>
      <c r="L11" s="41"/>
      <c r="M11" s="41"/>
      <c r="N11" s="41"/>
      <c r="O11" s="41"/>
      <c r="P11" s="41"/>
      <c r="Q11" s="41"/>
      <c r="R11" s="41"/>
      <c r="S11" s="6"/>
      <c r="T11" s="6"/>
    </row>
    <row r="12" spans="1:20" x14ac:dyDescent="0.35">
      <c r="A12" s="6"/>
      <c r="B12" s="6"/>
      <c r="C12" s="41"/>
      <c r="D12" s="41"/>
      <c r="E12" s="41"/>
      <c r="F12" s="41"/>
      <c r="G12" s="41"/>
      <c r="H12" s="41"/>
      <c r="I12" s="41"/>
      <c r="J12" s="41"/>
      <c r="K12" s="41"/>
      <c r="L12" s="41"/>
      <c r="M12" s="41"/>
      <c r="N12" s="41"/>
      <c r="O12" s="41"/>
      <c r="P12" s="41"/>
      <c r="Q12" s="41"/>
      <c r="R12" s="41"/>
      <c r="S12" s="6"/>
      <c r="T12" s="6"/>
    </row>
    <row r="13" spans="1:20" x14ac:dyDescent="0.35">
      <c r="A13" s="6"/>
      <c r="B13" s="6"/>
      <c r="C13" s="41"/>
      <c r="D13" s="41"/>
      <c r="E13" s="41"/>
      <c r="F13" s="41"/>
      <c r="G13" s="41"/>
      <c r="H13" s="41"/>
      <c r="I13" s="41"/>
      <c r="J13" s="41"/>
      <c r="K13" s="41"/>
      <c r="L13" s="41"/>
      <c r="M13" s="41"/>
      <c r="N13" s="41"/>
      <c r="O13" s="41"/>
      <c r="P13" s="41"/>
      <c r="Q13" s="41"/>
      <c r="R13" s="41"/>
      <c r="S13" s="6"/>
      <c r="T13" s="6"/>
    </row>
    <row r="14" spans="1:20" x14ac:dyDescent="0.35">
      <c r="A14" s="6"/>
      <c r="B14" s="6"/>
      <c r="C14" s="41"/>
      <c r="D14" s="41"/>
      <c r="E14" s="41"/>
      <c r="F14" s="41"/>
      <c r="G14" s="41"/>
      <c r="H14" s="41"/>
      <c r="I14" s="41"/>
      <c r="J14" s="41"/>
      <c r="K14" s="41"/>
      <c r="L14" s="41"/>
      <c r="M14" s="41"/>
      <c r="N14" s="41"/>
      <c r="O14" s="41"/>
      <c r="P14" s="41"/>
      <c r="Q14" s="41"/>
      <c r="R14" s="41"/>
      <c r="S14" s="6"/>
      <c r="T14" s="6"/>
    </row>
    <row r="15" spans="1:20" x14ac:dyDescent="0.35">
      <c r="A15" s="6"/>
      <c r="B15" s="6"/>
      <c r="C15" s="41"/>
      <c r="D15" s="41"/>
      <c r="E15" s="41"/>
      <c r="F15" s="41"/>
      <c r="G15" s="41"/>
      <c r="H15" s="41"/>
      <c r="I15" s="41"/>
      <c r="J15" s="41"/>
      <c r="K15" s="41"/>
      <c r="L15" s="41"/>
      <c r="M15" s="41"/>
      <c r="N15" s="41"/>
      <c r="O15" s="41"/>
      <c r="P15" s="41"/>
      <c r="Q15" s="41"/>
      <c r="R15" s="41"/>
      <c r="S15" s="6"/>
      <c r="T15" s="6"/>
    </row>
    <row r="16" spans="1:20" x14ac:dyDescent="0.35">
      <c r="A16" s="6"/>
      <c r="B16" s="6"/>
      <c r="C16" s="41"/>
      <c r="D16" s="41"/>
      <c r="E16" s="41"/>
      <c r="F16" s="41"/>
      <c r="G16" s="41"/>
      <c r="H16" s="41"/>
      <c r="I16" s="41"/>
      <c r="J16" s="41"/>
      <c r="K16" s="41"/>
      <c r="L16" s="41"/>
      <c r="M16" s="41"/>
      <c r="N16" s="41"/>
      <c r="O16" s="41"/>
      <c r="P16" s="41"/>
      <c r="Q16" s="41"/>
      <c r="R16" s="41"/>
      <c r="S16" s="6"/>
      <c r="T16" s="6"/>
    </row>
    <row r="17" spans="1:20" x14ac:dyDescent="0.35">
      <c r="A17" s="6"/>
      <c r="B17" s="6"/>
      <c r="C17" s="41"/>
      <c r="D17" s="41"/>
      <c r="E17" s="41"/>
      <c r="F17" s="41"/>
      <c r="G17" s="41"/>
      <c r="H17" s="41"/>
      <c r="I17" s="41"/>
      <c r="J17" s="41"/>
      <c r="K17" s="41"/>
      <c r="L17" s="41"/>
      <c r="M17" s="41"/>
      <c r="N17" s="41"/>
      <c r="O17" s="41"/>
      <c r="P17" s="41"/>
      <c r="Q17" s="41"/>
      <c r="R17" s="41"/>
      <c r="S17" s="6"/>
      <c r="T17" s="6"/>
    </row>
    <row r="18" spans="1:20" x14ac:dyDescent="0.35">
      <c r="A18" s="6"/>
      <c r="B18" s="6"/>
      <c r="C18" s="41"/>
      <c r="D18" s="41"/>
      <c r="E18" s="41"/>
      <c r="F18" s="41"/>
      <c r="G18" s="41"/>
      <c r="H18" s="41"/>
      <c r="I18" s="41"/>
      <c r="J18" s="41"/>
      <c r="K18" s="41"/>
      <c r="L18" s="41"/>
      <c r="M18" s="41"/>
      <c r="N18" s="41"/>
      <c r="O18" s="41"/>
      <c r="P18" s="41"/>
      <c r="Q18" s="41"/>
      <c r="R18" s="41"/>
      <c r="S18" s="6"/>
      <c r="T18" s="6"/>
    </row>
    <row r="19" spans="1:20" x14ac:dyDescent="0.35">
      <c r="A19" s="6"/>
      <c r="B19" s="6"/>
      <c r="C19" s="41"/>
      <c r="D19" s="41"/>
      <c r="E19" s="41"/>
      <c r="F19" s="41"/>
      <c r="G19" s="41"/>
      <c r="H19" s="41"/>
      <c r="I19" s="41"/>
      <c r="J19" s="41"/>
      <c r="K19" s="41"/>
      <c r="L19" s="41"/>
      <c r="M19" s="41"/>
      <c r="N19" s="41"/>
      <c r="O19" s="41"/>
      <c r="P19" s="41"/>
      <c r="Q19" s="41"/>
      <c r="R19" s="41"/>
      <c r="S19" s="6"/>
      <c r="T19" s="6"/>
    </row>
    <row r="20" spans="1:20" x14ac:dyDescent="0.35">
      <c r="A20" s="6"/>
      <c r="B20" s="8"/>
      <c r="C20" s="41"/>
      <c r="D20" s="41"/>
      <c r="E20" s="41"/>
      <c r="F20" s="41"/>
      <c r="G20" s="41"/>
      <c r="H20" s="41"/>
      <c r="I20" s="41"/>
      <c r="J20" s="41"/>
      <c r="K20" s="41"/>
      <c r="L20" s="41"/>
      <c r="M20" s="41"/>
      <c r="N20" s="41"/>
      <c r="O20" s="41"/>
      <c r="P20" s="41"/>
      <c r="Q20" s="41"/>
      <c r="R20" s="41"/>
      <c r="S20" s="8"/>
      <c r="T20" s="8"/>
    </row>
    <row r="21" spans="1:20" ht="21" x14ac:dyDescent="0.35">
      <c r="A21" s="6"/>
      <c r="B21" s="9"/>
      <c r="C21" s="78" t="s">
        <v>39</v>
      </c>
      <c r="D21" s="78"/>
      <c r="E21" s="78"/>
      <c r="F21" s="78"/>
      <c r="G21" s="78"/>
      <c r="H21" s="78"/>
      <c r="I21" s="78"/>
      <c r="J21" s="78"/>
      <c r="K21" s="78"/>
      <c r="L21" s="78"/>
      <c r="M21" s="78"/>
      <c r="N21" s="78"/>
      <c r="O21" s="78"/>
      <c r="P21" s="78"/>
      <c r="Q21" s="78"/>
      <c r="R21" s="78"/>
      <c r="S21" s="9"/>
      <c r="T21" s="9"/>
    </row>
    <row r="22" spans="1:20" x14ac:dyDescent="0.35">
      <c r="A22" s="6"/>
      <c r="B22" s="6"/>
      <c r="S22" s="6"/>
      <c r="T22" s="6"/>
    </row>
    <row r="23" spans="1:20" x14ac:dyDescent="0.35">
      <c r="A23" s="6"/>
      <c r="B23" s="6"/>
      <c r="S23" s="6"/>
      <c r="T23" s="6"/>
    </row>
    <row r="24" spans="1:20" ht="15" thickBot="1" x14ac:dyDescent="0.4">
      <c r="A24" s="6"/>
      <c r="B24" s="6"/>
      <c r="C24" s="77" t="s">
        <v>7</v>
      </c>
      <c r="D24" s="77"/>
      <c r="E24" s="77"/>
      <c r="F24" s="77"/>
      <c r="G24" s="77"/>
      <c r="H24" s="77"/>
      <c r="S24" s="6"/>
      <c r="T24" s="6"/>
    </row>
    <row r="25" spans="1:20" ht="15" thickBot="1" x14ac:dyDescent="0.4">
      <c r="A25" s="6"/>
      <c r="B25" s="6"/>
      <c r="D25" s="79" t="s">
        <v>59</v>
      </c>
      <c r="E25" s="79"/>
      <c r="F25" s="79"/>
      <c r="G25" s="79"/>
      <c r="H25" s="79"/>
      <c r="I25" s="79"/>
      <c r="J25" s="79"/>
      <c r="L25" s="75" t="s">
        <v>1</v>
      </c>
      <c r="M25" s="76"/>
      <c r="S25" s="6"/>
      <c r="T25" s="6"/>
    </row>
    <row r="26" spans="1:20" x14ac:dyDescent="0.35">
      <c r="A26" s="6"/>
      <c r="B26" s="6"/>
      <c r="D26" s="79"/>
      <c r="E26" s="79"/>
      <c r="F26" s="79"/>
      <c r="G26" s="79"/>
      <c r="H26" s="79"/>
      <c r="I26" s="79"/>
      <c r="J26" s="79"/>
      <c r="S26" s="6"/>
      <c r="T26" s="6"/>
    </row>
    <row r="27" spans="1:20" ht="15" thickBot="1" x14ac:dyDescent="0.4">
      <c r="A27" s="6"/>
      <c r="B27" s="6"/>
      <c r="S27" s="6"/>
      <c r="T27" s="6"/>
    </row>
    <row r="28" spans="1:20" ht="14.5" customHeight="1" x14ac:dyDescent="0.35">
      <c r="A28" s="6"/>
      <c r="B28" s="6"/>
      <c r="D28" s="79" t="s">
        <v>60</v>
      </c>
      <c r="E28" s="79"/>
      <c r="F28" s="79"/>
      <c r="G28" s="79"/>
      <c r="H28" s="79"/>
      <c r="I28" s="79"/>
      <c r="J28" s="79"/>
      <c r="K28" s="3"/>
      <c r="L28" s="68">
        <v>1</v>
      </c>
      <c r="M28" s="71" t="s">
        <v>15</v>
      </c>
      <c r="S28" s="6"/>
      <c r="T28" s="6"/>
    </row>
    <row r="29" spans="1:20" x14ac:dyDescent="0.35">
      <c r="A29" s="6"/>
      <c r="B29" s="6"/>
      <c r="D29" s="79"/>
      <c r="E29" s="79"/>
      <c r="F29" s="79"/>
      <c r="G29" s="79"/>
      <c r="H29" s="79"/>
      <c r="I29" s="79"/>
      <c r="J29" s="79"/>
      <c r="K29" s="3"/>
      <c r="L29" s="69"/>
      <c r="M29" s="72"/>
      <c r="S29" s="6"/>
      <c r="T29" s="6"/>
    </row>
    <row r="30" spans="1:20" ht="15" thickBot="1" x14ac:dyDescent="0.4">
      <c r="A30" s="6"/>
      <c r="B30" s="6"/>
      <c r="D30" s="79"/>
      <c r="E30" s="79"/>
      <c r="F30" s="79"/>
      <c r="G30" s="79"/>
      <c r="H30" s="79"/>
      <c r="I30" s="79"/>
      <c r="J30" s="79"/>
      <c r="K30" s="3"/>
      <c r="L30" s="70"/>
      <c r="M30" s="73"/>
      <c r="S30" s="6"/>
      <c r="T30" s="6"/>
    </row>
    <row r="31" spans="1:20" ht="15" thickBot="1" x14ac:dyDescent="0.4">
      <c r="A31" s="6"/>
      <c r="B31" s="6"/>
      <c r="D31" s="5"/>
      <c r="E31" s="5"/>
      <c r="F31" s="5"/>
      <c r="G31" s="5"/>
      <c r="H31" s="5"/>
      <c r="I31" s="5"/>
      <c r="J31" s="5"/>
      <c r="K31" s="3"/>
      <c r="L31" s="10"/>
      <c r="M31" s="1"/>
      <c r="S31" s="6"/>
      <c r="T31" s="6"/>
    </row>
    <row r="32" spans="1:20" x14ac:dyDescent="0.35">
      <c r="A32" s="6"/>
      <c r="B32" s="6"/>
      <c r="D32" s="61" t="s">
        <v>61</v>
      </c>
      <c r="E32" s="61"/>
      <c r="F32" s="61"/>
      <c r="G32" s="61"/>
      <c r="H32" s="61"/>
      <c r="I32" s="61"/>
      <c r="J32" s="61"/>
      <c r="L32" s="62">
        <v>0.33</v>
      </c>
      <c r="M32" s="63"/>
      <c r="S32" s="6"/>
      <c r="T32" s="6"/>
    </row>
    <row r="33" spans="1:20" x14ac:dyDescent="0.35">
      <c r="A33" s="6"/>
      <c r="B33" s="6"/>
      <c r="D33" s="61"/>
      <c r="E33" s="61"/>
      <c r="F33" s="61"/>
      <c r="G33" s="61"/>
      <c r="H33" s="61"/>
      <c r="I33" s="61"/>
      <c r="J33" s="61"/>
      <c r="L33" s="64"/>
      <c r="M33" s="65"/>
      <c r="S33" s="6"/>
      <c r="T33" s="6"/>
    </row>
    <row r="34" spans="1:20" ht="15" thickBot="1" x14ac:dyDescent="0.4">
      <c r="A34" s="6"/>
      <c r="B34" s="6"/>
      <c r="D34" s="61"/>
      <c r="E34" s="61"/>
      <c r="F34" s="61"/>
      <c r="G34" s="61"/>
      <c r="H34" s="61"/>
      <c r="I34" s="61"/>
      <c r="J34" s="61"/>
      <c r="L34" s="66"/>
      <c r="M34" s="67"/>
      <c r="S34" s="6"/>
      <c r="T34" s="6"/>
    </row>
    <row r="35" spans="1:20" x14ac:dyDescent="0.35">
      <c r="A35" s="6"/>
      <c r="B35" s="6"/>
      <c r="S35" s="6"/>
      <c r="T35" s="6"/>
    </row>
    <row r="36" spans="1:20" x14ac:dyDescent="0.35">
      <c r="A36" s="6"/>
      <c r="B36" s="6"/>
      <c r="S36" s="6"/>
      <c r="T36" s="6"/>
    </row>
    <row r="37" spans="1:20" x14ac:dyDescent="0.35">
      <c r="A37" s="6"/>
      <c r="B37" s="6"/>
      <c r="S37" s="6"/>
      <c r="T37" s="6"/>
    </row>
    <row r="38" spans="1:20" ht="15" thickBot="1" x14ac:dyDescent="0.4">
      <c r="A38" s="6"/>
      <c r="B38" s="6"/>
      <c r="C38" s="84" t="s">
        <v>11</v>
      </c>
      <c r="D38" s="84"/>
      <c r="E38" s="84"/>
      <c r="F38" s="84"/>
      <c r="G38" s="84"/>
      <c r="H38" s="84"/>
      <c r="S38" s="6"/>
      <c r="T38" s="6"/>
    </row>
    <row r="39" spans="1:20" x14ac:dyDescent="0.35">
      <c r="A39" s="6"/>
      <c r="B39" s="6"/>
      <c r="D39" s="79" t="s">
        <v>62</v>
      </c>
      <c r="E39" s="79"/>
      <c r="F39" s="79"/>
      <c r="G39" s="79"/>
      <c r="H39" s="79"/>
      <c r="I39" s="79"/>
      <c r="J39" s="79"/>
      <c r="L39" s="86" t="s">
        <v>8</v>
      </c>
      <c r="M39" s="87"/>
      <c r="S39" s="6"/>
      <c r="T39" s="6"/>
    </row>
    <row r="40" spans="1:20" ht="15" thickBot="1" x14ac:dyDescent="0.4">
      <c r="A40" s="6"/>
      <c r="B40" s="6"/>
      <c r="D40" s="79"/>
      <c r="E40" s="79"/>
      <c r="F40" s="79"/>
      <c r="G40" s="79"/>
      <c r="H40" s="79"/>
      <c r="I40" s="79"/>
      <c r="J40" s="79"/>
      <c r="L40" s="88"/>
      <c r="M40" s="89"/>
      <c r="S40" s="6"/>
      <c r="T40" s="6"/>
    </row>
    <row r="41" spans="1:20" x14ac:dyDescent="0.35">
      <c r="A41" s="6"/>
      <c r="B41" s="6"/>
      <c r="D41" s="5"/>
      <c r="E41" s="5"/>
      <c r="F41" s="5"/>
      <c r="G41" s="5"/>
      <c r="H41" s="5"/>
      <c r="I41" s="5"/>
      <c r="J41" s="5"/>
      <c r="L41" s="35"/>
      <c r="M41" s="35"/>
      <c r="S41" s="6"/>
      <c r="T41" s="6"/>
    </row>
    <row r="42" spans="1:20" ht="15" thickBot="1" x14ac:dyDescent="0.4">
      <c r="A42" s="6"/>
      <c r="B42" s="6"/>
      <c r="E42" s="5"/>
      <c r="F42" s="5"/>
      <c r="G42" s="5"/>
      <c r="H42" s="5"/>
      <c r="I42" s="5"/>
      <c r="J42" s="5"/>
      <c r="L42" s="35"/>
      <c r="M42" s="35"/>
      <c r="S42" s="6"/>
      <c r="T42" s="6"/>
    </row>
    <row r="43" spans="1:20" x14ac:dyDescent="0.35">
      <c r="A43" s="6"/>
      <c r="B43" s="6"/>
      <c r="D43" s="5"/>
      <c r="E43" s="5"/>
      <c r="F43" s="5"/>
      <c r="G43" s="5"/>
      <c r="H43" s="85" t="s">
        <v>73</v>
      </c>
      <c r="I43" s="85"/>
      <c r="J43" s="85"/>
      <c r="L43" s="68">
        <v>0</v>
      </c>
      <c r="M43" s="71" t="s">
        <v>15</v>
      </c>
      <c r="S43" s="6"/>
      <c r="T43" s="6"/>
    </row>
    <row r="44" spans="1:20" x14ac:dyDescent="0.35">
      <c r="A44" s="6"/>
      <c r="B44" s="6"/>
      <c r="D44" s="5"/>
      <c r="E44" s="5"/>
      <c r="F44" s="5"/>
      <c r="G44" s="5"/>
      <c r="H44" s="85"/>
      <c r="I44" s="85"/>
      <c r="J44" s="85"/>
      <c r="L44" s="69"/>
      <c r="M44" s="72"/>
      <c r="S44" s="6"/>
      <c r="T44" s="6"/>
    </row>
    <row r="45" spans="1:20" ht="15" thickBot="1" x14ac:dyDescent="0.4">
      <c r="A45" s="6"/>
      <c r="B45" s="6"/>
      <c r="D45" s="5"/>
      <c r="E45" s="5"/>
      <c r="F45" s="5"/>
      <c r="G45" s="5"/>
      <c r="H45" s="85"/>
      <c r="I45" s="85"/>
      <c r="J45" s="85"/>
      <c r="L45" s="70"/>
      <c r="M45" s="73"/>
      <c r="S45" s="6"/>
      <c r="T45" s="6"/>
    </row>
    <row r="46" spans="1:20" x14ac:dyDescent="0.35">
      <c r="A46" s="6"/>
      <c r="B46" s="6"/>
      <c r="D46" s="5"/>
      <c r="E46" s="5"/>
      <c r="F46" s="5"/>
      <c r="G46" s="5"/>
      <c r="S46" s="6"/>
      <c r="T46" s="6"/>
    </row>
    <row r="47" spans="1:20" ht="14" customHeight="1" thickBot="1" x14ac:dyDescent="0.4">
      <c r="A47" s="6"/>
      <c r="B47" s="6"/>
      <c r="S47" s="6"/>
      <c r="T47" s="6"/>
    </row>
    <row r="48" spans="1:20" ht="14.5" customHeight="1" x14ac:dyDescent="0.35">
      <c r="A48" s="6"/>
      <c r="B48" s="6"/>
      <c r="D48" s="61" t="s">
        <v>63</v>
      </c>
      <c r="E48" s="61"/>
      <c r="F48" s="61"/>
      <c r="G48" s="61"/>
      <c r="H48" s="61"/>
      <c r="I48" s="61"/>
      <c r="J48" s="61"/>
      <c r="L48" s="62">
        <v>0</v>
      </c>
      <c r="M48" s="63"/>
      <c r="S48" s="6"/>
      <c r="T48" s="6"/>
    </row>
    <row r="49" spans="1:20" x14ac:dyDescent="0.35">
      <c r="A49" s="6"/>
      <c r="B49" s="6"/>
      <c r="D49" s="61"/>
      <c r="E49" s="61"/>
      <c r="F49" s="61"/>
      <c r="G49" s="61"/>
      <c r="H49" s="61"/>
      <c r="I49" s="61"/>
      <c r="J49" s="61"/>
      <c r="L49" s="64"/>
      <c r="M49" s="65"/>
      <c r="S49" s="6"/>
      <c r="T49" s="6"/>
    </row>
    <row r="50" spans="1:20" ht="15" thickBot="1" x14ac:dyDescent="0.4">
      <c r="A50" s="6"/>
      <c r="B50" s="6"/>
      <c r="D50" s="61"/>
      <c r="E50" s="61"/>
      <c r="F50" s="61"/>
      <c r="G50" s="61"/>
      <c r="H50" s="61"/>
      <c r="I50" s="61"/>
      <c r="J50" s="61"/>
      <c r="L50" s="66"/>
      <c r="M50" s="67"/>
      <c r="S50" s="6"/>
      <c r="T50" s="6"/>
    </row>
    <row r="51" spans="1:20" x14ac:dyDescent="0.35">
      <c r="A51" s="6"/>
      <c r="B51" s="6"/>
      <c r="S51" s="6"/>
      <c r="T51" s="6"/>
    </row>
    <row r="52" spans="1:20" ht="15" thickBot="1" x14ac:dyDescent="0.4">
      <c r="A52" s="6"/>
      <c r="B52" s="6"/>
      <c r="S52" s="6"/>
      <c r="T52" s="6"/>
    </row>
    <row r="53" spans="1:20" x14ac:dyDescent="0.35">
      <c r="A53" s="6"/>
      <c r="B53" s="6"/>
      <c r="D53" s="61" t="s">
        <v>16</v>
      </c>
      <c r="E53" s="61"/>
      <c r="F53" s="61"/>
      <c r="G53" s="61"/>
      <c r="H53" s="61"/>
      <c r="I53" s="61"/>
      <c r="J53" s="61"/>
      <c r="L53" s="68">
        <v>1</v>
      </c>
      <c r="M53" s="71" t="s">
        <v>15</v>
      </c>
      <c r="S53" s="6"/>
      <c r="T53" s="6"/>
    </row>
    <row r="54" spans="1:20" ht="16" customHeight="1" x14ac:dyDescent="0.35">
      <c r="A54" s="6"/>
      <c r="B54" s="6"/>
      <c r="D54" s="61"/>
      <c r="E54" s="61"/>
      <c r="F54" s="61"/>
      <c r="G54" s="61"/>
      <c r="H54" s="61"/>
      <c r="I54" s="61"/>
      <c r="J54" s="61"/>
      <c r="L54" s="69"/>
      <c r="M54" s="72"/>
      <c r="S54" s="6"/>
      <c r="T54" s="6"/>
    </row>
    <row r="55" spans="1:20" ht="15" thickBot="1" x14ac:dyDescent="0.4">
      <c r="A55" s="6"/>
      <c r="B55" s="6"/>
      <c r="D55" s="61"/>
      <c r="E55" s="61"/>
      <c r="F55" s="61"/>
      <c r="G55" s="61"/>
      <c r="H55" s="61"/>
      <c r="I55" s="61"/>
      <c r="J55" s="61"/>
      <c r="L55" s="70"/>
      <c r="M55" s="73"/>
      <c r="S55" s="6"/>
      <c r="T55" s="6"/>
    </row>
    <row r="56" spans="1:20" x14ac:dyDescent="0.35">
      <c r="A56" s="6"/>
      <c r="B56" s="6"/>
      <c r="S56" s="6"/>
      <c r="T56" s="6"/>
    </row>
    <row r="57" spans="1:20" x14ac:dyDescent="0.35">
      <c r="A57" s="6"/>
      <c r="B57" s="6"/>
      <c r="C57" s="6"/>
      <c r="D57" s="6"/>
      <c r="E57" s="6"/>
      <c r="F57" s="6"/>
      <c r="G57" s="6"/>
      <c r="H57" s="6"/>
      <c r="I57" s="6"/>
      <c r="J57" s="6"/>
      <c r="K57" s="6"/>
      <c r="L57" s="6"/>
      <c r="M57" s="6"/>
      <c r="N57" s="6"/>
      <c r="O57" s="6"/>
      <c r="P57" s="6"/>
      <c r="Q57" s="6"/>
      <c r="R57" s="6"/>
      <c r="S57" s="6"/>
      <c r="T57" s="6"/>
    </row>
    <row r="58" spans="1:20" hidden="1" x14ac:dyDescent="0.35">
      <c r="A58" s="6"/>
      <c r="B58" s="6"/>
      <c r="C58" s="6"/>
      <c r="D58" s="6"/>
      <c r="E58" s="6"/>
      <c r="F58" s="6"/>
      <c r="G58" s="6"/>
      <c r="H58" s="6"/>
      <c r="I58" s="6"/>
      <c r="J58" s="6"/>
      <c r="K58" s="6"/>
      <c r="L58" s="6"/>
      <c r="M58" s="6"/>
      <c r="N58" s="6"/>
      <c r="O58" s="6"/>
      <c r="P58" s="6"/>
      <c r="Q58" s="6"/>
      <c r="R58" s="6"/>
      <c r="S58" s="6"/>
      <c r="T58" s="6"/>
    </row>
  </sheetData>
  <dataConsolidate/>
  <mergeCells count="22">
    <mergeCell ref="C38:H38"/>
    <mergeCell ref="C2:R2"/>
    <mergeCell ref="C4:R20"/>
    <mergeCell ref="C21:R21"/>
    <mergeCell ref="C24:H24"/>
    <mergeCell ref="L25:M25"/>
    <mergeCell ref="D28:J30"/>
    <mergeCell ref="D32:J34"/>
    <mergeCell ref="L32:M34"/>
    <mergeCell ref="D25:J26"/>
    <mergeCell ref="L28:L30"/>
    <mergeCell ref="M28:M30"/>
    <mergeCell ref="D53:J55"/>
    <mergeCell ref="L53:L55"/>
    <mergeCell ref="M53:M55"/>
    <mergeCell ref="D39:J40"/>
    <mergeCell ref="L39:M40"/>
    <mergeCell ref="D48:J50"/>
    <mergeCell ref="L48:M50"/>
    <mergeCell ref="H43:J45"/>
    <mergeCell ref="L43:L45"/>
    <mergeCell ref="M43:M45"/>
  </mergeCells>
  <conditionalFormatting sqref="L25 L39">
    <cfRule type="containsText" dxfId="11" priority="2" operator="containsText" text="No">
      <formula>NOT(ISERROR(SEARCH("No",L25)))</formula>
    </cfRule>
  </conditionalFormatting>
  <conditionalFormatting sqref="L28:M30 L32 L39 L43:M45 L48 L53:M53">
    <cfRule type="expression" dxfId="10" priority="3">
      <formula>$L$25="No"</formula>
    </cfRule>
  </conditionalFormatting>
  <conditionalFormatting sqref="L43:M45 L48">
    <cfRule type="expression" dxfId="9" priority="1">
      <formula>$L$39="No"</formula>
    </cfRule>
  </conditionalFormatting>
  <dataValidations count="1">
    <dataValidation type="custom" allowBlank="1" showInputMessage="1" showErrorMessage="1" error="Since wastewater is not needed for core operations this value isn't needed. Delete the remaining responses for this tab and omit this section from the final report. " sqref="L28" xr:uid="{8206ABE4-30A9-446B-9B36-0AB8C4FAB757}">
      <formula1>L25="Yes"</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prompt="If wastewater is not needed for core operations, ignore the remaining responses for this tab (they should be blacked out) and omit this section from the final report. " xr:uid="{1E05D9EF-E6CF-4AB7-9D6E-56D2281CBCD3}">
          <x14:formula1>
            <xm:f>'Formulas_Dont Delete'!$AX$1:$AX$3</xm:f>
          </x14:formula1>
          <xm:sqref>L25:M25</xm:sqref>
        </x14:dataValidation>
        <x14:dataValidation type="list" allowBlank="1" showInputMessage="1" showErrorMessage="1" xr:uid="{CF4FA57F-C524-4AC4-B0ED-FDF6207A3ECB}">
          <x14:formula1>
            <xm:f>'Formulas_Dont Delete'!$AX$1:$AX$3</xm:f>
          </x14:formula1>
          <xm:sqref>L39:M42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95A28C-FA91-40A6-A51F-92E7E16A20FE}">
  <sheetPr codeName="Sheet4"/>
  <dimension ref="A1:CK42"/>
  <sheetViews>
    <sheetView zoomScale="82" zoomScaleNormal="82" workbookViewId="0">
      <selection activeCell="AL35" sqref="AL35"/>
    </sheetView>
  </sheetViews>
  <sheetFormatPr defaultRowHeight="14.5" x14ac:dyDescent="0.35"/>
  <cols>
    <col min="1" max="1" width="15.90625" customWidth="1"/>
    <col min="2" max="2" width="32.7265625" customWidth="1"/>
    <col min="3" max="3" width="12.453125" customWidth="1"/>
    <col min="4" max="4" width="2.7265625" customWidth="1"/>
    <col min="5" max="5" width="4.36328125" customWidth="1"/>
    <col min="6" max="6" width="5" customWidth="1"/>
    <col min="7" max="8" width="3.81640625" customWidth="1"/>
    <col min="9" max="9" width="3.7265625" customWidth="1"/>
    <col min="10" max="10" width="4" customWidth="1"/>
    <col min="11" max="27" width="3.7265625" customWidth="1"/>
    <col min="28" max="28" width="3.81640625" customWidth="1"/>
    <col min="29" max="29" width="4.26953125" customWidth="1"/>
    <col min="30" max="37" width="3.7265625" customWidth="1"/>
    <col min="54" max="54" width="13.1796875" bestFit="1" customWidth="1"/>
    <col min="55" max="57" width="8.453125" bestFit="1" customWidth="1"/>
  </cols>
  <sheetData>
    <row r="1" spans="1:89" ht="16" thickBot="1" x14ac:dyDescent="0.4">
      <c r="AM1" s="90" t="s">
        <v>41</v>
      </c>
      <c r="AN1" s="91"/>
      <c r="AO1" s="91"/>
      <c r="AP1" s="91"/>
      <c r="AQ1" s="91"/>
      <c r="AR1" s="91"/>
      <c r="AS1" s="91"/>
      <c r="AT1" s="91"/>
      <c r="AU1" s="91"/>
      <c r="AV1" s="91"/>
      <c r="AW1" s="91"/>
      <c r="AX1" s="91"/>
      <c r="AY1" s="91"/>
      <c r="AZ1" s="91"/>
      <c r="BA1" s="92"/>
    </row>
    <row r="2" spans="1:89" ht="15" thickBot="1" x14ac:dyDescent="0.4">
      <c r="B2" s="1"/>
      <c r="AX2" t="s">
        <v>1</v>
      </c>
    </row>
    <row r="3" spans="1:89" x14ac:dyDescent="0.35">
      <c r="A3" s="93" t="s">
        <v>6</v>
      </c>
      <c r="B3" s="1"/>
      <c r="AX3" t="s">
        <v>8</v>
      </c>
    </row>
    <row r="4" spans="1:89" x14ac:dyDescent="0.35">
      <c r="A4" s="94"/>
      <c r="B4" s="1"/>
      <c r="C4" s="27" t="s">
        <v>4</v>
      </c>
      <c r="D4" s="30">
        <v>0</v>
      </c>
      <c r="E4" s="30">
        <v>3</v>
      </c>
      <c r="F4" s="30">
        <v>6</v>
      </c>
      <c r="G4" s="30">
        <v>9</v>
      </c>
      <c r="H4" s="30">
        <v>12</v>
      </c>
      <c r="I4" s="30">
        <v>15</v>
      </c>
      <c r="J4" s="30">
        <v>18</v>
      </c>
      <c r="K4" s="30">
        <v>21</v>
      </c>
      <c r="L4" s="30">
        <v>24</v>
      </c>
      <c r="M4" s="30">
        <v>27</v>
      </c>
      <c r="N4" s="30">
        <v>30</v>
      </c>
      <c r="O4" s="30">
        <v>33</v>
      </c>
      <c r="P4" s="30">
        <v>36</v>
      </c>
      <c r="Q4" s="30">
        <v>39</v>
      </c>
      <c r="R4" s="30">
        <v>42</v>
      </c>
      <c r="S4" s="30">
        <v>45</v>
      </c>
      <c r="T4" s="30">
        <v>48</v>
      </c>
      <c r="U4" s="30">
        <v>51</v>
      </c>
      <c r="V4" s="30">
        <v>54</v>
      </c>
      <c r="W4" s="30">
        <v>57</v>
      </c>
      <c r="X4" s="30">
        <v>60</v>
      </c>
      <c r="Y4" s="30">
        <v>63</v>
      </c>
      <c r="Z4" s="30">
        <v>66</v>
      </c>
      <c r="AA4" s="30">
        <v>69</v>
      </c>
      <c r="AB4" s="30">
        <v>72</v>
      </c>
      <c r="AC4" s="30">
        <v>75</v>
      </c>
      <c r="AD4" s="30">
        <v>78</v>
      </c>
      <c r="AE4" s="30">
        <v>81</v>
      </c>
      <c r="AF4" s="30">
        <v>84</v>
      </c>
      <c r="AG4" s="30">
        <v>87</v>
      </c>
      <c r="AH4" s="30">
        <v>90</v>
      </c>
      <c r="AI4" s="30">
        <v>93</v>
      </c>
      <c r="AJ4" s="30">
        <v>96</v>
      </c>
      <c r="AN4" s="11" t="s">
        <v>17</v>
      </c>
      <c r="AO4" s="4">
        <f>100-$AQ$4</f>
        <v>10</v>
      </c>
      <c r="AQ4" s="4" cm="1">
        <f t="array" ref="AQ4:AR6">('Electric Power'!L32:M34)/100%*(100)</f>
        <v>90</v>
      </c>
      <c r="AR4">
        <v>0</v>
      </c>
      <c r="AT4" s="4" cm="1">
        <f t="array" ref="AT4:AU6">('Electric Power'!L52:M54)/100%*(100)</f>
        <v>34</v>
      </c>
      <c r="AU4">
        <v>0</v>
      </c>
      <c r="AW4" s="83" t="s">
        <v>74</v>
      </c>
      <c r="AX4" s="83"/>
      <c r="AY4" s="83"/>
      <c r="AZ4" s="83"/>
      <c r="CK4" s="28">
        <v>96</v>
      </c>
    </row>
    <row r="5" spans="1:89" x14ac:dyDescent="0.35">
      <c r="A5" s="94"/>
      <c r="B5" s="37" t="s">
        <v>64</v>
      </c>
      <c r="C5" s="34"/>
      <c r="D5" s="31">
        <v>100</v>
      </c>
      <c r="E5" s="32">
        <f>IF(OR(AND('Electric Power'!L28 &gt;= 1, 'Electric Power'!L28 &lt;= 3), D5 = AO4), AO4, 100)</f>
        <v>10</v>
      </c>
      <c r="F5" s="26">
        <f>IF(OR(AND('Electric Power'!L28 &gt;= 4, 'Electric Power'!L28 &lt;= 6), E5 = AO4), AO4, 100)</f>
        <v>10</v>
      </c>
      <c r="G5" s="26">
        <f>IF(OR(AND('Electric Power'!L28&gt;=7,'Electric Power'!L28&lt;=9),F5= AO4),AO4,100)</f>
        <v>10</v>
      </c>
      <c r="H5" s="26">
        <f>IF(OR(AND('Electric Power'!L28 &gt;= 10, 'Electric Power'!L28 &lt;= 12), G5 = AO4), AO4, 100)</f>
        <v>10</v>
      </c>
      <c r="I5" s="26">
        <f>IF(OR(AND('Electric Power'!L28 &gt;= 13, 'Electric Power'!L28 &lt;= 15), H5 = AO4), AO4, 100)</f>
        <v>10</v>
      </c>
      <c r="J5" s="26">
        <f>IF(OR(AND('Electric Power'!L28 &gt;= 16, 'Electric Power'!L28 &lt;= 18), I5 = AO4), AO4, 100)</f>
        <v>10</v>
      </c>
      <c r="K5" s="26">
        <f>IF(OR(AND('Electric Power'!L28 &gt;= 19, 'Electric Power'!L28 &lt;= 21), J5 = AO4), AO4, 100)</f>
        <v>10</v>
      </c>
      <c r="L5" s="26">
        <f>IF(OR(AND('Electric Power'!L28 &gt;= 22, 'Electric Power'!L28 &lt;= 24), K5 = AO4), AO4, 100)</f>
        <v>10</v>
      </c>
      <c r="M5" s="26">
        <f>IF(OR(AND('Electric Power'!L28 &gt;= 25, 'Electric Power'!L28 &lt;= 27), L5 = AO4), AO4, 100)</f>
        <v>10</v>
      </c>
      <c r="N5" s="26">
        <f>IF(OR(AND('Electric Power'!L28 &gt;= 28, 'Electric Power'!L28 &lt;= 30), M5 = AO4), AO4, 100)</f>
        <v>10</v>
      </c>
      <c r="O5" s="26">
        <f>IF(OR(AND('Electric Power'!L28 &gt;= 31, 'Electric Power'!L28 &lt;= 33), N5 = AO4), AO4, 100)</f>
        <v>10</v>
      </c>
      <c r="P5" s="26">
        <f>IF(OR(AND('Electric Power'!L28 &gt;= 34, 'Electric Power'!L28 &lt;= 36), O5 = AO4), AO4, 100)</f>
        <v>10</v>
      </c>
      <c r="Q5" s="26">
        <f>IF(OR(AND('Electric Power'!L28 &gt;= 37, 'Electric Power'!L28 &lt;= 39), P5 = AO4), AO4, 100)</f>
        <v>10</v>
      </c>
      <c r="R5" s="26">
        <f>IF(OR(AND('Electric Power'!L28 &gt;= 40, 'Electric Power'!L28 &lt;= 42), Q5 = AO4), AO4, 100)</f>
        <v>10</v>
      </c>
      <c r="S5" s="26">
        <f>IF(OR(AND('Electric Power'!L28 &gt;= 43, 'Electric Power'!L28 &lt;= 45), R5 = AO4), AO4, 100)</f>
        <v>10</v>
      </c>
      <c r="T5" s="26">
        <f>IF(OR(AND('Electric Power'!L28 &gt;= 46, 'Electric Power'!L28 &lt;= 48), S5 = AO4), AO4, 100)</f>
        <v>10</v>
      </c>
      <c r="U5" s="26">
        <f>IF(OR(AND('Electric Power'!L28 &gt;= 49, 'Electric Power'!L28 &lt;= 51), T5 = AO4), AO4, 100)</f>
        <v>10</v>
      </c>
      <c r="V5" s="26">
        <f>IF(OR(AND('Electric Power'!L28 &gt;= 52, 'Electric Power'!L28 &lt;= 54), U5 = AO4), AO4, 100)</f>
        <v>10</v>
      </c>
      <c r="W5" s="26">
        <f>IF(OR(AND('Electric Power'!L28&gt;=55,'Electric Power'!L28&lt;=57),V5=AO4),AO4,100)</f>
        <v>10</v>
      </c>
      <c r="X5" s="26">
        <f>IF(OR(AND('Electric Power'!L28 &gt;= 58, 'Electric Power'!L28 &lt;= 60), W5 = AO4), AO4, 100)</f>
        <v>10</v>
      </c>
      <c r="Y5" s="26">
        <f>IF(OR(AND('Electric Power'!L28 &gt;= 61, 'Electric Power'!L28 &lt;= 63), X5 = AO4), AO4, 100)</f>
        <v>10</v>
      </c>
      <c r="Z5" s="26">
        <f>IF(OR(AND('Electric Power'!L28 &gt;= 64, 'Electric Power'!L28 &lt;= 66), Y5 = AO4), AO4, 100)</f>
        <v>10</v>
      </c>
      <c r="AA5" s="26">
        <f>IF(OR(AND('Electric Power'!L28 &gt;= 67, 'Electric Power'!L28 &lt;= 69), Z5 = AO4), AO4, 100)</f>
        <v>10</v>
      </c>
      <c r="AB5" s="25">
        <f>IF(OR(AND('Electric Power'!L28 &gt;= 68, 'Electric Power'!L28 &lt;= 72), Z5 = AO4), AO4, 100)</f>
        <v>10</v>
      </c>
      <c r="AC5" s="31">
        <f t="shared" ref="AC5:AC6" si="0">IF($AZ$6 &gt; AC$4, $AO$4, 100)</f>
        <v>100</v>
      </c>
      <c r="AD5" s="31">
        <f>IF($AZ$6 &gt; AD$4, $AO$4, 100)</f>
        <v>100</v>
      </c>
      <c r="AE5" s="31">
        <f t="shared" ref="AE5:AJ6" si="1">IF($AZ$6 &gt; AE$4, $AO$4, 100)</f>
        <v>100</v>
      </c>
      <c r="AF5" s="31">
        <f t="shared" si="1"/>
        <v>100</v>
      </c>
      <c r="AG5" s="31">
        <f t="shared" si="1"/>
        <v>100</v>
      </c>
      <c r="AH5" s="31">
        <f t="shared" si="1"/>
        <v>100</v>
      </c>
      <c r="AI5" s="31">
        <f t="shared" si="1"/>
        <v>100</v>
      </c>
      <c r="AJ5" s="31">
        <f t="shared" si="1"/>
        <v>100</v>
      </c>
      <c r="AN5" s="11" t="s">
        <v>18</v>
      </c>
      <c r="AO5" s="4">
        <f>100-$AT$4</f>
        <v>66</v>
      </c>
      <c r="AQ5" s="23">
        <v>0</v>
      </c>
      <c r="AR5">
        <v>0</v>
      </c>
      <c r="AT5">
        <v>0</v>
      </c>
      <c r="AU5">
        <v>0</v>
      </c>
      <c r="AW5" s="83"/>
      <c r="AX5" s="83"/>
      <c r="AY5" s="83"/>
      <c r="AZ5" s="83"/>
      <c r="CK5" s="25">
        <v>100</v>
      </c>
    </row>
    <row r="6" spans="1:89" x14ac:dyDescent="0.35">
      <c r="A6" s="94"/>
      <c r="B6" s="37" t="s">
        <v>65</v>
      </c>
      <c r="C6" s="34"/>
      <c r="D6" s="32">
        <v>100</v>
      </c>
      <c r="E6" s="26">
        <f>IF('Electric Power'!$L$46 &gt; E4, $AO$5, $AO$4)</f>
        <v>66</v>
      </c>
      <c r="F6" s="26">
        <f>IF('Electric Power'!$L$46 &gt; F4, $AO$5, $AO$4)</f>
        <v>66</v>
      </c>
      <c r="G6" s="26">
        <f>IF('Electric Power'!$L$46 &gt; G4, $AO$5, $AO$4)</f>
        <v>66</v>
      </c>
      <c r="H6" s="26">
        <f>IF('Electric Power'!$L$46 &gt; H4, $AO$5, $AO$4)</f>
        <v>66</v>
      </c>
      <c r="I6" s="26">
        <f>IF('Electric Power'!$L$46 &gt; I4, $AO$5, $AO$4)</f>
        <v>66</v>
      </c>
      <c r="J6" s="26">
        <f>IF('Electric Power'!$L$46 &gt; J4, $AO$5, $AO$4)</f>
        <v>66</v>
      </c>
      <c r="K6" s="26">
        <f>IF('Electric Power'!$L$46 &gt; K4, $AO$5, $AO$4)</f>
        <v>66</v>
      </c>
      <c r="L6" s="26">
        <f>IF('Electric Power'!$L$46 &gt; L4, $AO$5, $AO$4)</f>
        <v>66</v>
      </c>
      <c r="M6" s="26">
        <f>IF('Electric Power'!$L$46 &gt; M4, $AO$5, $AO$4)</f>
        <v>66</v>
      </c>
      <c r="N6" s="26">
        <f>IF('Electric Power'!$L$46 &gt; N4, $AO$5, $AO$4)</f>
        <v>66</v>
      </c>
      <c r="O6" s="26">
        <f>IF('Electric Power'!$L$46 &gt; O4, $AO$5, $AO$4)</f>
        <v>66</v>
      </c>
      <c r="P6" s="26">
        <f>IF('Electric Power'!$L$46 &gt; P4, $AO$5, $AO$4)</f>
        <v>66</v>
      </c>
      <c r="Q6" s="26">
        <f>IF('Electric Power'!$L$46 &gt; Q4, $AO$5, $AO$4)</f>
        <v>66</v>
      </c>
      <c r="R6" s="26">
        <f>IF('Electric Power'!$L$46 &gt; R4, $AO$5, $AO$4)</f>
        <v>66</v>
      </c>
      <c r="S6" s="26">
        <f>IF('Electric Power'!$L$46 &gt; S4, $AO$5, $AO$4)</f>
        <v>66</v>
      </c>
      <c r="T6" s="26">
        <f>IF('Electric Power'!$L$46 &gt; T4, $AO$5, $AO$4)</f>
        <v>66</v>
      </c>
      <c r="U6" s="26">
        <f>IF('Electric Power'!$L$46 &gt; U4, $AO$5, $AO$4)</f>
        <v>66</v>
      </c>
      <c r="V6" s="26">
        <f>IF('Electric Power'!$L$46 &gt; V4, $AO$5, $AO$4)</f>
        <v>66</v>
      </c>
      <c r="W6" s="26">
        <f>IF('Electric Power'!$L$46 &gt; W4, $AO$5, $AO$4)</f>
        <v>66</v>
      </c>
      <c r="X6" s="26">
        <f>IF('Electric Power'!$L$46 &gt; X4, $AO$5, $AO$4)</f>
        <v>66</v>
      </c>
      <c r="Y6" s="26">
        <f>IF('Electric Power'!$L$46 &gt; Y4, $AO$5, $AO$4)</f>
        <v>66</v>
      </c>
      <c r="Z6" s="26">
        <f>IF('Electric Power'!$L$46 &gt; Z4, $AO$5, $AO$4)</f>
        <v>66</v>
      </c>
      <c r="AA6" s="26">
        <f>IF('Electric Power'!$L$46 &gt; AA4, $AO$5, $AO$4)</f>
        <v>66</v>
      </c>
      <c r="AB6" s="26">
        <f>IF('Electric Power'!$L$46 &gt; AB4, $AO$5, $AO$4)</f>
        <v>66</v>
      </c>
      <c r="AC6" s="31">
        <f t="shared" si="0"/>
        <v>100</v>
      </c>
      <c r="AD6" s="31">
        <f>IF($AZ$6 &gt; AD$4, $AO$4, 100)</f>
        <v>100</v>
      </c>
      <c r="AE6" s="31">
        <f t="shared" si="1"/>
        <v>100</v>
      </c>
      <c r="AF6" s="31">
        <f t="shared" si="1"/>
        <v>100</v>
      </c>
      <c r="AG6" s="31">
        <f t="shared" si="1"/>
        <v>100</v>
      </c>
      <c r="AH6" s="31">
        <f t="shared" si="1"/>
        <v>100</v>
      </c>
      <c r="AI6" s="31">
        <f t="shared" si="1"/>
        <v>100</v>
      </c>
      <c r="AJ6" s="31">
        <f t="shared" si="1"/>
        <v>100</v>
      </c>
      <c r="AQ6" s="23">
        <v>0</v>
      </c>
      <c r="AR6">
        <v>0</v>
      </c>
      <c r="AT6">
        <v>0</v>
      </c>
      <c r="AU6">
        <v>0</v>
      </c>
      <c r="AY6" s="38" t="s">
        <v>75</v>
      </c>
      <c r="AZ6" s="4">
        <f>IF('Electric Power'!L58 &gt; 1, 'Electric Power'!L58 + 72, 72)</f>
        <v>72</v>
      </c>
      <c r="CK6" s="25">
        <v>100</v>
      </c>
    </row>
    <row r="7" spans="1:89" ht="15" thickBot="1" x14ac:dyDescent="0.4">
      <c r="A7" s="96"/>
      <c r="B7" s="29"/>
      <c r="AP7" s="1"/>
    </row>
    <row r="8" spans="1:89" x14ac:dyDescent="0.35">
      <c r="B8" s="1"/>
    </row>
    <row r="9" spans="1:89" ht="15" thickBot="1" x14ac:dyDescent="0.4">
      <c r="B9" s="1"/>
    </row>
    <row r="10" spans="1:89" ht="14.5" customHeight="1" x14ac:dyDescent="0.35">
      <c r="A10" s="93" t="s">
        <v>28</v>
      </c>
      <c r="B10" s="1"/>
      <c r="AW10" s="3"/>
      <c r="AX10" s="3"/>
      <c r="AY10" s="3"/>
      <c r="AZ10" s="3"/>
    </row>
    <row r="11" spans="1:89" x14ac:dyDescent="0.35">
      <c r="A11" s="94"/>
      <c r="B11" s="1"/>
      <c r="C11" s="27" t="s">
        <v>4</v>
      </c>
      <c r="D11" s="28">
        <v>0</v>
      </c>
      <c r="E11" s="28">
        <v>3</v>
      </c>
      <c r="F11" s="28">
        <v>6</v>
      </c>
      <c r="G11" s="28">
        <v>9</v>
      </c>
      <c r="H11" s="28">
        <v>12</v>
      </c>
      <c r="I11" s="28">
        <v>15</v>
      </c>
      <c r="J11" s="28">
        <v>18</v>
      </c>
      <c r="K11" s="28">
        <v>21</v>
      </c>
      <c r="L11" s="28">
        <v>24</v>
      </c>
      <c r="M11" s="28">
        <v>27</v>
      </c>
      <c r="N11" s="28">
        <v>30</v>
      </c>
      <c r="O11" s="28">
        <v>33</v>
      </c>
      <c r="P11" s="28">
        <v>36</v>
      </c>
      <c r="Q11" s="28">
        <v>39</v>
      </c>
      <c r="R11" s="28">
        <v>42</v>
      </c>
      <c r="S11" s="28">
        <v>45</v>
      </c>
      <c r="T11" s="28">
        <v>48</v>
      </c>
      <c r="U11" s="28">
        <v>51</v>
      </c>
      <c r="V11" s="28">
        <v>54</v>
      </c>
      <c r="W11" s="28">
        <v>57</v>
      </c>
      <c r="X11" s="28">
        <v>60</v>
      </c>
      <c r="Y11" s="28">
        <v>63</v>
      </c>
      <c r="Z11" s="28">
        <v>66</v>
      </c>
      <c r="AA11" s="28">
        <v>69</v>
      </c>
      <c r="AB11" s="28">
        <v>72</v>
      </c>
      <c r="AC11" s="28">
        <v>75</v>
      </c>
      <c r="AD11" s="28">
        <v>78</v>
      </c>
      <c r="AE11" s="28">
        <v>81</v>
      </c>
      <c r="AF11" s="28">
        <v>84</v>
      </c>
      <c r="AG11" s="28">
        <v>87</v>
      </c>
      <c r="AH11" s="28">
        <v>90</v>
      </c>
      <c r="AI11" s="28">
        <v>93</v>
      </c>
      <c r="AJ11" s="28">
        <v>96</v>
      </c>
      <c r="AN11" s="11" t="s">
        <v>17</v>
      </c>
      <c r="AO11" s="4">
        <f>100-AQ11</f>
        <v>55</v>
      </c>
      <c r="AQ11" s="4" cm="1">
        <f t="array" ref="AQ11:AR13">(Water!L32:M34)/100%*(100)</f>
        <v>45</v>
      </c>
      <c r="AR11">
        <v>0</v>
      </c>
      <c r="AT11" s="4" cm="1">
        <f t="array" ref="AT11:AU13">(Water!L50:M52)/100%*(100)</f>
        <v>0</v>
      </c>
      <c r="AU11">
        <v>0</v>
      </c>
      <c r="AW11" s="83" t="s">
        <v>74</v>
      </c>
      <c r="AX11" s="83"/>
      <c r="AY11" s="83"/>
      <c r="AZ11" s="83"/>
    </row>
    <row r="12" spans="1:89" x14ac:dyDescent="0.35">
      <c r="A12" s="94"/>
      <c r="B12" s="37" t="s">
        <v>72</v>
      </c>
      <c r="C12" s="34"/>
      <c r="D12" s="26">
        <v>100</v>
      </c>
      <c r="E12" s="26">
        <f>IF(OR(AND(Water!L28 &gt;= 1, Water!K28 &lt;= 3), D12 = AO11), AO11, 100)</f>
        <v>55</v>
      </c>
      <c r="F12" s="26">
        <f>IF(OR(AND(Water!L28 &gt;= 4, Water!L28 &lt;= 6), E12 = AO11), AO11, 100)</f>
        <v>55</v>
      </c>
      <c r="G12" s="26">
        <f>IF(OR(AND(Water!L28&gt;=7, Water!L28&lt;=9),F12= AO11),AO11,100)</f>
        <v>55</v>
      </c>
      <c r="H12" s="26">
        <f>IF(OR(AND(Water!L28 &gt;= 10, Water!L28 &lt;= 12), G12 = AO11), AO11, 100)</f>
        <v>55</v>
      </c>
      <c r="I12" s="26">
        <f>IF(OR(AND(Water!L28 &gt;= 13, Water!L28 &lt;= 15), H12 = AO11), AO11, 100)</f>
        <v>55</v>
      </c>
      <c r="J12" s="26">
        <f>IF(OR(AND(Water!L28 &gt;= 16, Water!L28 &lt;= 18), I12 = AO11), AO11, 100)</f>
        <v>55</v>
      </c>
      <c r="K12" s="26">
        <f>IF(OR(AND(Water!L28 &gt;= 19, Water!L28 &lt;= 21), J12 = AO11), AO11, 100)</f>
        <v>55</v>
      </c>
      <c r="L12" s="26">
        <f>IF(OR(AND(Water!L28 &gt;= 22, Water!L28 &lt;= 24), K12 = AO11), AO11, 100)</f>
        <v>55</v>
      </c>
      <c r="M12" s="26">
        <f>IF(OR(AND(Water!L28 &gt;= 25, Water!L28 &lt;= 27), L12 = AO11), AO11, 100)</f>
        <v>55</v>
      </c>
      <c r="N12" s="26">
        <f>IF(OR(AND(Water!L28 &gt;= 28, Water!L28 &lt;= 30), M12 = AO11), AO11, 100)</f>
        <v>55</v>
      </c>
      <c r="O12" s="26">
        <f>IF(OR(AND(Water!L28 &gt;= 31, Water!L28 &lt;= 33), N12 = AO11), AO11, 100)</f>
        <v>55</v>
      </c>
      <c r="P12" s="26">
        <f>IF(OR(AND(Water!L28 &gt;= 34, Water!L28 &lt;= 36), O12 = AO11), AO11, 100)</f>
        <v>55</v>
      </c>
      <c r="Q12" s="26">
        <f>IF(OR(AND(Water!L28 &gt;= 37, Water!L28 &lt;= 39), P12 = AO11), AO11, 100)</f>
        <v>55</v>
      </c>
      <c r="R12" s="26">
        <f>IF(OR(AND(Water!L28 &gt;= 40, Water!L28 &lt;= 42), Q12 = AO11), AO11, 100)</f>
        <v>55</v>
      </c>
      <c r="S12" s="26">
        <f>IF(OR(AND(Water!L28 &gt;= 43, Water!L28 &lt;= 45), R12 = AO11), AO11, 100)</f>
        <v>55</v>
      </c>
      <c r="T12" s="26">
        <f>IF(OR(AND(Water!L28 &gt;= 46, Water!L28 &lt;= 48), S12 = AO11), AO11, 100)</f>
        <v>55</v>
      </c>
      <c r="U12" s="26">
        <f>IF(OR(AND(Water!L28 &gt;= 49, Water!L28 &lt;= 51), T12 = AO11), AO11, 100)</f>
        <v>55</v>
      </c>
      <c r="V12" s="26">
        <f>IF(OR(AND(Water!L28 &gt;= 52, Water!L28 &lt;= 54), U12 = AO11), AO11, 100)</f>
        <v>55</v>
      </c>
      <c r="W12" s="26">
        <f>IF(OR(AND(Water!L28&gt;=55,Water!L28&lt;=57),V12=AO11),AO11,100)</f>
        <v>55</v>
      </c>
      <c r="X12" s="26">
        <f>IF(OR(AND(Water!L28 &gt;= 58, Water!L28 &lt;= 60), W12 = AO11), AO11, 100)</f>
        <v>55</v>
      </c>
      <c r="Y12" s="26">
        <f>IF(OR(AND(Water!L28 &gt;= 61, Water!L28 &lt;= 63), X12 = AO11), AO11, 100)</f>
        <v>55</v>
      </c>
      <c r="Z12" s="26">
        <f>IF(OR(AND(Water!L28 &gt;= 64, Water!L28 &lt;= 66), Y12 = AO11), AO11, 100)</f>
        <v>55</v>
      </c>
      <c r="AA12" s="26">
        <f>IF(OR(AND(Water!L28 &gt;= 67, Water!L28 &lt;= 69), Z12 = AO11), AO11, 100)</f>
        <v>55</v>
      </c>
      <c r="AB12" s="26">
        <f>IF(AZ13 &gt; AB$11, $AO$11, 100)</f>
        <v>100</v>
      </c>
      <c r="AC12" s="26">
        <f>IF(AZ13 &gt; AC$11, $AO$11, 100)</f>
        <v>100</v>
      </c>
      <c r="AD12" s="26">
        <f>IF(AZ13 &gt; AD$11, $AO$11, 100)</f>
        <v>100</v>
      </c>
      <c r="AE12" s="26">
        <f t="shared" ref="AE12:AJ12" si="2">IF(BA13 &gt; AE$11, $AO$11, 100)</f>
        <v>100</v>
      </c>
      <c r="AF12" s="26">
        <f t="shared" si="2"/>
        <v>100</v>
      </c>
      <c r="AG12" s="26">
        <f t="shared" si="2"/>
        <v>100</v>
      </c>
      <c r="AH12" s="26">
        <f t="shared" si="2"/>
        <v>100</v>
      </c>
      <c r="AI12" s="26">
        <f t="shared" si="2"/>
        <v>100</v>
      </c>
      <c r="AJ12" s="26">
        <f t="shared" si="2"/>
        <v>100</v>
      </c>
      <c r="AN12" s="11" t="s">
        <v>18</v>
      </c>
      <c r="AO12" s="4">
        <f>100-AT11</f>
        <v>100</v>
      </c>
      <c r="AQ12" s="23">
        <v>0</v>
      </c>
      <c r="AR12">
        <v>0</v>
      </c>
      <c r="AT12" s="23">
        <v>0</v>
      </c>
      <c r="AU12">
        <v>0</v>
      </c>
      <c r="AW12" s="83"/>
      <c r="AX12" s="83"/>
      <c r="AY12" s="83"/>
      <c r="AZ12" s="83"/>
    </row>
    <row r="13" spans="1:89" ht="14.5" customHeight="1" x14ac:dyDescent="0.35">
      <c r="A13" s="94"/>
      <c r="B13" s="37" t="s">
        <v>71</v>
      </c>
      <c r="C13" s="34"/>
      <c r="D13" s="26">
        <v>100</v>
      </c>
      <c r="E13" s="26">
        <f>IF(Water!$L$43 &gt; E11, $AO$12, $AO$11)</f>
        <v>55</v>
      </c>
      <c r="F13" s="26">
        <f>IF(Water!$L$43 &gt; F11, $AO$12, $AO$11)</f>
        <v>55</v>
      </c>
      <c r="G13" s="26">
        <f>IF(Water!$L$43 &gt; G11, $AO$12, $AO$11)</f>
        <v>55</v>
      </c>
      <c r="H13" s="26">
        <f>IF(Water!$L$43 &gt; H11, $AO$12, $AO$11)</f>
        <v>55</v>
      </c>
      <c r="I13" s="26">
        <f>IF(Water!$L$43 &gt; I11, $AO$12, $AO$11)</f>
        <v>55</v>
      </c>
      <c r="J13" s="26">
        <f>IF(Water!$L$43 &gt; J11, $AO$12, $AO$11)</f>
        <v>55</v>
      </c>
      <c r="K13" s="26">
        <f>IF(Water!$L$43 &gt; K11, $AO$12, $AO$11)</f>
        <v>55</v>
      </c>
      <c r="L13" s="26">
        <f>IF(Water!$L$43 &gt; L11, $AO$12, $AO$11)</f>
        <v>55</v>
      </c>
      <c r="M13" s="26">
        <f>IF(Water!$L$43 &gt; M11, $AO$12, $AO$11)</f>
        <v>55</v>
      </c>
      <c r="N13" s="26">
        <f>IF(Water!$L$43 &gt; N11, $AO$12, $AO$11)</f>
        <v>55</v>
      </c>
      <c r="O13" s="26">
        <f>IF(Water!$L$43 &gt; O11, $AO$12, $AO$11)</f>
        <v>55</v>
      </c>
      <c r="P13" s="26">
        <f>IF(Water!$L$43 &gt; P11, $AO$12, $AO$11)</f>
        <v>55</v>
      </c>
      <c r="Q13" s="26">
        <f>IF(Water!$L$43 &gt; Q11, $AO$12, $AO$11)</f>
        <v>55</v>
      </c>
      <c r="R13" s="26">
        <f>IF(Water!$L$43 &gt; R11, $AO$12, $AO$11)</f>
        <v>55</v>
      </c>
      <c r="S13" s="26">
        <f>IF(Water!$L$43 &gt; S11, $AO$12, $AO$11)</f>
        <v>55</v>
      </c>
      <c r="T13" s="26">
        <f>IF(Water!$L$43 &gt; T11, $AO$12, $AO$11)</f>
        <v>55</v>
      </c>
      <c r="U13" s="26">
        <f>IF(Water!$L$43 &gt; U11, $AO$12, $AO$11)</f>
        <v>55</v>
      </c>
      <c r="V13" s="26">
        <f>IF(Water!$L$43 &gt; V11, $AO$12, $AO$11)</f>
        <v>55</v>
      </c>
      <c r="W13" s="26">
        <f>IF(Water!$L$43 &gt; W11, $AO$12, $AO$11)</f>
        <v>55</v>
      </c>
      <c r="X13" s="26">
        <f>IF(Water!$L$43 &gt; X11, $AO$12, $AO$11)</f>
        <v>55</v>
      </c>
      <c r="Y13" s="26">
        <f>IF(Water!$L$43 &gt; Y11, $AO$12, $AO$11)</f>
        <v>55</v>
      </c>
      <c r="Z13" s="26">
        <f>IF(Water!$L$43 &gt; Z11, $AO$12, $AO$11)</f>
        <v>55</v>
      </c>
      <c r="AA13" s="26">
        <f>IF(Water!$L$43 &gt; AA11, $AO$12, $AO$11)</f>
        <v>55</v>
      </c>
      <c r="AB13" s="26">
        <f>IF(AZ13 &gt; AB$11, $AO$11, 100)</f>
        <v>100</v>
      </c>
      <c r="AC13" s="26">
        <f>IF(AZ13 &gt; AC$11, $AO$11, 100)</f>
        <v>100</v>
      </c>
      <c r="AD13" s="26">
        <f>IF($AZ$13 &gt; AD$11, $AO$11, 100)</f>
        <v>100</v>
      </c>
      <c r="AE13" s="26">
        <f>IF($AZ$13 &gt; AE$11, $AO$11, 100)</f>
        <v>100</v>
      </c>
      <c r="AF13" s="26">
        <f t="shared" ref="AF13:AI13" si="3">IF($AZ$13 &gt; AF$11, $AO$11, 100)</f>
        <v>100</v>
      </c>
      <c r="AG13" s="26">
        <f t="shared" si="3"/>
        <v>100</v>
      </c>
      <c r="AH13" s="26">
        <f t="shared" si="3"/>
        <v>100</v>
      </c>
      <c r="AI13" s="26">
        <f t="shared" si="3"/>
        <v>100</v>
      </c>
      <c r="AJ13" s="26">
        <v>100</v>
      </c>
      <c r="AQ13" s="23">
        <v>0</v>
      </c>
      <c r="AR13">
        <v>0</v>
      </c>
      <c r="AT13" s="23">
        <v>0</v>
      </c>
      <c r="AU13">
        <v>0</v>
      </c>
      <c r="AW13" s="3"/>
      <c r="AY13" s="38" t="s">
        <v>75</v>
      </c>
      <c r="AZ13" s="4">
        <f>IF(Water!L55 &gt; 1, Water!L55 + 72, 72)</f>
        <v>72</v>
      </c>
    </row>
    <row r="14" spans="1:89" ht="15" thickBot="1" x14ac:dyDescent="0.4">
      <c r="A14" s="96"/>
      <c r="B14" s="29"/>
      <c r="AT14" s="1"/>
      <c r="AX14" s="4"/>
      <c r="AY14" s="4"/>
    </row>
    <row r="15" spans="1:89" x14ac:dyDescent="0.35">
      <c r="B15" s="1"/>
      <c r="AT15" s="1"/>
    </row>
    <row r="16" spans="1:89" ht="15" thickBot="1" x14ac:dyDescent="0.4">
      <c r="B16" s="1"/>
      <c r="AT16" s="2"/>
    </row>
    <row r="17" spans="1:52" x14ac:dyDescent="0.35">
      <c r="A17" s="93" t="s">
        <v>29</v>
      </c>
      <c r="B17" s="1"/>
    </row>
    <row r="18" spans="1:52" x14ac:dyDescent="0.35">
      <c r="A18" s="94"/>
      <c r="B18" s="1"/>
      <c r="C18" s="27" t="s">
        <v>4</v>
      </c>
      <c r="D18" s="28">
        <v>0</v>
      </c>
      <c r="E18" s="28">
        <v>3</v>
      </c>
      <c r="F18" s="28">
        <v>6</v>
      </c>
      <c r="G18" s="28">
        <v>9</v>
      </c>
      <c r="H18" s="28">
        <v>12</v>
      </c>
      <c r="I18" s="28">
        <v>15</v>
      </c>
      <c r="J18" s="28">
        <v>18</v>
      </c>
      <c r="K18" s="28">
        <v>21</v>
      </c>
      <c r="L18" s="28">
        <v>24</v>
      </c>
      <c r="M18" s="28">
        <v>27</v>
      </c>
      <c r="N18" s="28">
        <v>30</v>
      </c>
      <c r="O18" s="28">
        <v>33</v>
      </c>
      <c r="P18" s="28">
        <v>36</v>
      </c>
      <c r="Q18" s="28">
        <v>39</v>
      </c>
      <c r="R18" s="28">
        <v>42</v>
      </c>
      <c r="S18" s="28">
        <v>45</v>
      </c>
      <c r="T18" s="28">
        <v>48</v>
      </c>
      <c r="U18" s="28">
        <v>51</v>
      </c>
      <c r="V18" s="28">
        <v>54</v>
      </c>
      <c r="W18" s="28">
        <v>57</v>
      </c>
      <c r="X18" s="28">
        <v>60</v>
      </c>
      <c r="Y18" s="28">
        <v>63</v>
      </c>
      <c r="Z18" s="28">
        <v>66</v>
      </c>
      <c r="AA18" s="28">
        <v>69</v>
      </c>
      <c r="AB18" s="28">
        <v>72</v>
      </c>
      <c r="AC18" s="28">
        <v>75</v>
      </c>
      <c r="AD18" s="28">
        <v>78</v>
      </c>
      <c r="AE18" s="28">
        <v>81</v>
      </c>
      <c r="AF18" s="28">
        <v>84</v>
      </c>
      <c r="AG18" s="28">
        <v>87</v>
      </c>
      <c r="AH18" s="28">
        <v>90</v>
      </c>
      <c r="AI18" s="28">
        <v>93</v>
      </c>
      <c r="AJ18" s="28">
        <v>96</v>
      </c>
      <c r="AN18" s="11" t="s">
        <v>17</v>
      </c>
      <c r="AO18" s="4">
        <f>100-AQ18</f>
        <v>67</v>
      </c>
      <c r="AQ18" s="4" cm="1">
        <f t="array" ref="AQ18:AR20">(Wastewater!L32:M34)/100%*(100)</f>
        <v>33</v>
      </c>
      <c r="AR18">
        <v>0</v>
      </c>
      <c r="AT18" s="4" cm="1">
        <f t="array" ref="AT18:AU20">(Wastewater!L48:M50)/100%*(100)</f>
        <v>0</v>
      </c>
      <c r="AU18">
        <v>0</v>
      </c>
      <c r="AW18" s="83" t="s">
        <v>74</v>
      </c>
      <c r="AX18" s="83"/>
      <c r="AY18" s="83"/>
      <c r="AZ18" s="83"/>
    </row>
    <row r="19" spans="1:52" x14ac:dyDescent="0.35">
      <c r="A19" s="94"/>
      <c r="B19" s="37" t="s">
        <v>70</v>
      </c>
      <c r="C19" s="25"/>
      <c r="D19" s="26">
        <v>100</v>
      </c>
      <c r="E19" s="26">
        <f>IF(OR(AND(Wastewater!L28 &gt;= 1, Wastewater!L28 &lt;= 3), D19 = AO18), AO18, 100)</f>
        <v>67</v>
      </c>
      <c r="F19" s="26">
        <f>IF(OR(AND(Wastewater!L28 &gt;= 4, Wastewater!L28 &lt;= 6), E19 = AO18), AO18, 100)</f>
        <v>67</v>
      </c>
      <c r="G19" s="26">
        <f>IF(OR(AND(Wastewater!L28&gt;=7, Wastewater!L28&lt;=9),F19= AO18),AO18,100)</f>
        <v>67</v>
      </c>
      <c r="H19" s="26">
        <f>IF(OR(AND(Wastewater!L28 &gt;= 10, Wastewater!L28 &lt;= 12), G19 = AO18), AO18, 100)</f>
        <v>67</v>
      </c>
      <c r="I19" s="26">
        <f>IF(OR(AND(Wastewater!L28 &gt;= 13, Wastewater!L28 &lt;= 15), H19 = AO18), AO18, 100)</f>
        <v>67</v>
      </c>
      <c r="J19" s="26">
        <f>IF(OR(AND(Wastewater!L28 &gt;= 16, Wastewater!L28 &lt;= 18), I19 = AO18), AO18, 100)</f>
        <v>67</v>
      </c>
      <c r="K19" s="26">
        <f>IF(OR(AND(Wastewater!L28 &gt;= 19, Wastewater!L28 &lt;= 21), J19 = AO18), AO18, 100)</f>
        <v>67</v>
      </c>
      <c r="L19" s="26">
        <f>IF(OR(AND(Wastewater!L28 &gt;= 22, Wastewater!L28 &lt;= 24), K19 = AO18), AO18, 100)</f>
        <v>67</v>
      </c>
      <c r="M19" s="26">
        <f>IF(OR(AND(Wastewater!L28 &gt;= 25, Wastewater!L28 &lt;= 27), L19 = AO18), AO18, 100)</f>
        <v>67</v>
      </c>
      <c r="N19" s="26">
        <f>IF(OR(AND(Wastewater!L28 &gt;= 28, Wastewater!L28 &lt;= 30), M19 = AO18), AO18, 100)</f>
        <v>67</v>
      </c>
      <c r="O19" s="26">
        <f>IF(OR(AND(Wastewater!L28 &gt;= 31, Wastewater!L28 &lt;= 33), N19 = AO18), AO18, 100)</f>
        <v>67</v>
      </c>
      <c r="P19" s="26">
        <f>IF(OR(AND(Wastewater!L28 &gt;= 34, Wastewater!L28 &lt;= 36), O19 = AO18), AO18, 100)</f>
        <v>67</v>
      </c>
      <c r="Q19" s="26">
        <f>IF(OR(AND(Wastewater!L28 &gt;= 37, Wastewater!L28 &lt;= 39), P19 = AO18), AO18, 100)</f>
        <v>67</v>
      </c>
      <c r="R19" s="26">
        <f>IF(OR(AND(Wastewater!L28 &gt;= 40, Wastewater!L28 &lt;= 42), Q19 = AO18), AO18, 100)</f>
        <v>67</v>
      </c>
      <c r="S19" s="26">
        <f>IF(OR(AND(Wastewater!L28 &gt;= 43, Wastewater!L28 &lt;= 45), R19 = AO18), AO18, 100)</f>
        <v>67</v>
      </c>
      <c r="T19" s="26">
        <f>IF(OR(AND(Wastewater!L28 &gt;= 46, Wastewater!L28 &lt;= 48), S19 = AO18), AO18, 100)</f>
        <v>67</v>
      </c>
      <c r="U19" s="26">
        <f>IF(OR(AND(Wastewater!L28 &gt;= 49, Wastewater!L28 &lt;= 51), T19 = AO18), AO18, 100)</f>
        <v>67</v>
      </c>
      <c r="V19" s="26">
        <f>IF(OR(AND(Wastewater!L28 &gt;= 52, Wastewater!L28 &lt;= 54), U19 = AO18), AO18, 100)</f>
        <v>67</v>
      </c>
      <c r="W19" s="26">
        <f>IF(OR(AND(Wastewater!L28&gt;=55,Wastewater!L28&lt;=57),V19=AO18),AO18,100)</f>
        <v>67</v>
      </c>
      <c r="X19" s="26">
        <f>IF(OR(AND(Wastewater!L28 &gt;= 58, Wastewater!L28 &lt;= 60), W19 = AO18), AO18, 100)</f>
        <v>67</v>
      </c>
      <c r="Y19" s="26">
        <f>IF(OR(AND(Wastewater!L28 &gt;= 61, Wastewater!L28 &lt;= 63), X19 = AO18), AO18, 100)</f>
        <v>67</v>
      </c>
      <c r="Z19" s="26">
        <f>IF(OR(AND(Wastewater!L28 &gt;= 64, Wastewater!L28 &lt;= 66), Y19 = AO18), AO18, 100)</f>
        <v>67</v>
      </c>
      <c r="AA19" s="26">
        <f>IF(OR(AND(Wastewater!L28 &gt;= 67, Wastewater!L28 &lt;= 69), Z19 = AO18), AO18, 100)</f>
        <v>67</v>
      </c>
      <c r="AB19" s="26">
        <f>IF($AZ$20 &gt; AB$18, $AO$18, 100)</f>
        <v>100</v>
      </c>
      <c r="AC19" s="26">
        <f>IF($AZ$20 &gt; AC$18, $AO$18, 100)</f>
        <v>100</v>
      </c>
      <c r="AD19" s="26">
        <f t="shared" ref="AD19:AJ20" si="4">IF($AZ$20 &gt; AD$18, $AO$18, 100)</f>
        <v>100</v>
      </c>
      <c r="AE19" s="26">
        <f t="shared" si="4"/>
        <v>100</v>
      </c>
      <c r="AF19" s="26">
        <f t="shared" si="4"/>
        <v>100</v>
      </c>
      <c r="AG19" s="26">
        <f t="shared" si="4"/>
        <v>100</v>
      </c>
      <c r="AH19" s="26">
        <f t="shared" si="4"/>
        <v>100</v>
      </c>
      <c r="AI19" s="26">
        <f t="shared" si="4"/>
        <v>100</v>
      </c>
      <c r="AJ19" s="26">
        <f t="shared" si="4"/>
        <v>100</v>
      </c>
      <c r="AN19" s="11" t="s">
        <v>18</v>
      </c>
      <c r="AO19" s="4">
        <f>100-AT18</f>
        <v>100</v>
      </c>
      <c r="AQ19" s="23">
        <v>0</v>
      </c>
      <c r="AR19">
        <v>0</v>
      </c>
      <c r="AT19" s="23">
        <v>0</v>
      </c>
      <c r="AU19">
        <v>0</v>
      </c>
      <c r="AW19" s="83"/>
      <c r="AX19" s="83"/>
      <c r="AY19" s="83"/>
      <c r="AZ19" s="83"/>
    </row>
    <row r="20" spans="1:52" x14ac:dyDescent="0.35">
      <c r="A20" s="94"/>
      <c r="B20" s="37" t="s">
        <v>71</v>
      </c>
      <c r="C20" s="25"/>
      <c r="D20" s="26">
        <v>100</v>
      </c>
      <c r="E20" s="26">
        <f>IF(Wastewater!$L$43 &gt; E18, $AO$19, $AO$18)</f>
        <v>67</v>
      </c>
      <c r="F20" s="26">
        <f>IF(Wastewater!$L$43 &gt; F18, $AO$19, $AO$18)</f>
        <v>67</v>
      </c>
      <c r="G20" s="26">
        <f>IF(Wastewater!$L$43 &gt; G18, $AO$19, $AO$18)</f>
        <v>67</v>
      </c>
      <c r="H20" s="26">
        <f>IF(Wastewater!$L$43 &gt; H18, $AO$19, $AO$18)</f>
        <v>67</v>
      </c>
      <c r="I20" s="26">
        <f>IF(Wastewater!$L$43 &gt; I18, $AO$19, $AO$18)</f>
        <v>67</v>
      </c>
      <c r="J20" s="26">
        <f>IF(Wastewater!$L$43 &gt; J18, $AO$19, $AO$18)</f>
        <v>67</v>
      </c>
      <c r="K20" s="26">
        <f>IF(Wastewater!$L$43 &gt; K18, $AO$19, $AO$18)</f>
        <v>67</v>
      </c>
      <c r="L20" s="26">
        <f>IF(Wastewater!$L$43 &gt; L18, $AO$19, $AO$18)</f>
        <v>67</v>
      </c>
      <c r="M20" s="26">
        <f>IF(Wastewater!$L$43 &gt; M18, $AO$19, $AO$18)</f>
        <v>67</v>
      </c>
      <c r="N20" s="26">
        <f>IF(Wastewater!$L$43 &gt; N18, $AO$19, $AO$18)</f>
        <v>67</v>
      </c>
      <c r="O20" s="26">
        <f>IF(Wastewater!$L$43 &gt; O18, $AO$19, $AO$18)</f>
        <v>67</v>
      </c>
      <c r="P20" s="26">
        <f>IF(Wastewater!$L$43 &gt; P18, $AO$19, $AO$18)</f>
        <v>67</v>
      </c>
      <c r="Q20" s="26">
        <f>IF(Wastewater!$L$43 &gt; Q18, $AO$19, $AO$18)</f>
        <v>67</v>
      </c>
      <c r="R20" s="26">
        <f>IF(Wastewater!$L$43 &gt; R18, $AO$19, $AO$18)</f>
        <v>67</v>
      </c>
      <c r="S20" s="26">
        <f>IF(Wastewater!$L$43 &gt; S18, $AO$19, $AO$18)</f>
        <v>67</v>
      </c>
      <c r="T20" s="26">
        <f>IF(Wastewater!$L$43 &gt; T18, $AO$19, $AO$18)</f>
        <v>67</v>
      </c>
      <c r="U20" s="26">
        <f>IF(Wastewater!$L$43 &gt; U18, $AO$19, $AO$18)</f>
        <v>67</v>
      </c>
      <c r="V20" s="26">
        <f>IF(Wastewater!$L$43 &gt; V18, $AO$19, $AO$18)</f>
        <v>67</v>
      </c>
      <c r="W20" s="26">
        <f>IF(Wastewater!$L$43 &gt; W18, $AO$19, $AO$18)</f>
        <v>67</v>
      </c>
      <c r="X20" s="26">
        <f>IF(Wastewater!$L$43 &gt; X18, $AO$19, $AO$18)</f>
        <v>67</v>
      </c>
      <c r="Y20" s="26">
        <f>IF(Wastewater!$L$43 &gt; Y18, $AO$19, $AO$18)</f>
        <v>67</v>
      </c>
      <c r="Z20" s="26">
        <f>IF(Wastewater!$L$43 &gt; Z18, $AO$19, $AO$18)</f>
        <v>67</v>
      </c>
      <c r="AA20" s="26">
        <f>IF(Wastewater!$L$43 &gt; AA18, $AO$19, $AO$18)</f>
        <v>67</v>
      </c>
      <c r="AB20" s="26">
        <f>IF($AZ$20 &gt; AB$18, $AO$18, 100)</f>
        <v>100</v>
      </c>
      <c r="AC20" s="26">
        <f>IF($AZ$20 &gt; AC$18, $AO$18, 100)</f>
        <v>100</v>
      </c>
      <c r="AD20" s="26">
        <f t="shared" si="4"/>
        <v>100</v>
      </c>
      <c r="AE20" s="26">
        <f t="shared" si="4"/>
        <v>100</v>
      </c>
      <c r="AF20" s="26">
        <f t="shared" si="4"/>
        <v>100</v>
      </c>
      <c r="AG20" s="26">
        <f t="shared" si="4"/>
        <v>100</v>
      </c>
      <c r="AH20" s="26">
        <f t="shared" si="4"/>
        <v>100</v>
      </c>
      <c r="AI20" s="26">
        <f t="shared" si="4"/>
        <v>100</v>
      </c>
      <c r="AJ20" s="26">
        <f t="shared" si="4"/>
        <v>100</v>
      </c>
      <c r="AQ20" s="23">
        <v>0</v>
      </c>
      <c r="AR20">
        <v>0</v>
      </c>
      <c r="AT20" s="23">
        <v>0</v>
      </c>
      <c r="AU20">
        <v>0</v>
      </c>
      <c r="AY20" s="38" t="s">
        <v>75</v>
      </c>
      <c r="AZ20" s="4">
        <f>IF(Wastewater!L53 &gt; 1, Wastewater!L53 + 72, 72)</f>
        <v>72</v>
      </c>
    </row>
    <row r="21" spans="1:52" ht="15" thickBot="1" x14ac:dyDescent="0.4">
      <c r="A21" s="96"/>
      <c r="B21" s="29"/>
    </row>
    <row r="23" spans="1:52" ht="15" thickBot="1" x14ac:dyDescent="0.4">
      <c r="AT23" s="2"/>
    </row>
    <row r="24" spans="1:52" x14ac:dyDescent="0.35">
      <c r="A24" s="93" t="s">
        <v>31</v>
      </c>
    </row>
    <row r="25" spans="1:52" ht="14.5" customHeight="1" x14ac:dyDescent="0.35">
      <c r="A25" s="94"/>
      <c r="C25" s="27" t="s">
        <v>4</v>
      </c>
      <c r="D25" s="28">
        <v>0</v>
      </c>
      <c r="E25" s="28">
        <v>3</v>
      </c>
      <c r="F25" s="28">
        <v>6</v>
      </c>
      <c r="G25" s="28">
        <v>9</v>
      </c>
      <c r="H25" s="28">
        <v>12</v>
      </c>
      <c r="I25" s="28">
        <v>15</v>
      </c>
      <c r="J25" s="28">
        <v>18</v>
      </c>
      <c r="K25" s="28">
        <v>21</v>
      </c>
      <c r="L25" s="28">
        <v>24</v>
      </c>
      <c r="M25" s="28">
        <v>27</v>
      </c>
      <c r="N25" s="28">
        <v>30</v>
      </c>
      <c r="O25" s="28">
        <v>33</v>
      </c>
      <c r="P25" s="28">
        <v>36</v>
      </c>
      <c r="Q25" s="28">
        <v>39</v>
      </c>
      <c r="R25" s="28">
        <v>42</v>
      </c>
      <c r="S25" s="28">
        <v>45</v>
      </c>
      <c r="T25" s="28">
        <v>48</v>
      </c>
      <c r="U25" s="28">
        <v>51</v>
      </c>
      <c r="V25" s="28">
        <v>54</v>
      </c>
      <c r="W25" s="28">
        <v>57</v>
      </c>
      <c r="X25" s="28">
        <v>60</v>
      </c>
      <c r="Y25" s="28">
        <v>63</v>
      </c>
      <c r="Z25" s="28">
        <v>66</v>
      </c>
      <c r="AA25" s="28">
        <v>69</v>
      </c>
      <c r="AB25" s="28">
        <v>72</v>
      </c>
      <c r="AC25" s="28">
        <v>75</v>
      </c>
      <c r="AD25" s="28">
        <v>78</v>
      </c>
      <c r="AE25" s="28">
        <v>81</v>
      </c>
      <c r="AF25" s="28">
        <v>84</v>
      </c>
      <c r="AG25" s="28">
        <v>87</v>
      </c>
      <c r="AH25" s="28">
        <v>90</v>
      </c>
      <c r="AI25" s="28">
        <v>93</v>
      </c>
      <c r="AJ25" s="28">
        <v>96</v>
      </c>
      <c r="AN25" s="11" t="s">
        <v>17</v>
      </c>
      <c r="AO25" s="4">
        <f>100-AQ25</f>
        <v>20</v>
      </c>
      <c r="AQ25" s="4" cm="1">
        <f t="array" ref="AQ25:AR27">('Information Technology'!L32:M34)/100%*(100)</f>
        <v>80</v>
      </c>
      <c r="AR25">
        <v>0</v>
      </c>
      <c r="AT25" s="4" cm="1">
        <f t="array" ref="AT25:AU27">('Information Technology'!L49:M51)/100%*(100)</f>
        <v>0</v>
      </c>
      <c r="AU25">
        <v>0</v>
      </c>
      <c r="AW25" s="83" t="s">
        <v>74</v>
      </c>
      <c r="AX25" s="83"/>
      <c r="AY25" s="83"/>
      <c r="AZ25" s="83"/>
    </row>
    <row r="26" spans="1:52" x14ac:dyDescent="0.35">
      <c r="A26" s="94"/>
      <c r="B26" s="37" t="s">
        <v>70</v>
      </c>
      <c r="C26" s="25"/>
      <c r="D26" s="26">
        <v>100</v>
      </c>
      <c r="E26">
        <f>IF(OR(AND('Information Technology'!L28 &gt;= 1, 'Information Technology'!L28 &lt;= 3), D26 = AO25), AO25, 100)</f>
        <v>100</v>
      </c>
      <c r="F26" s="26">
        <f>IF(OR(AND('Information Technology'!$L$28 &gt;= 4, 'Information Technology'!$L$28 &lt;= 6), E26 = AO25), AO25, 100)</f>
        <v>20</v>
      </c>
      <c r="G26" s="26">
        <f>IF(OR(AND('Information Technology'!$L$28&gt;=7, 'Information Technology'!$L$28&lt;=9),F26= AO25),AO25,100)</f>
        <v>20</v>
      </c>
      <c r="H26" s="26">
        <f>IF(OR(AND('Information Technology'!$L$28 &gt;= 10, 'Information Technology'!$L$28 &lt;= 12), G26 = AO25), AO25, 100)</f>
        <v>20</v>
      </c>
      <c r="I26" s="26">
        <f>IF(OR(AND('Information Technology'!$L$28 &gt;= 13, 'Information Technology'!$L$28 &lt;= 15), H26 = AO25), AO25, 100)</f>
        <v>20</v>
      </c>
      <c r="J26" s="26">
        <f>IF(OR(AND('Information Technology'!$L$28 &gt;= 16, 'Information Technology'!$L$28 &lt;= 18), I26 = AO25), AO25, 100)</f>
        <v>20</v>
      </c>
      <c r="K26" s="26">
        <f>IF(OR(AND('Information Technology'!$L$28 &gt;= 19, 'Information Technology'!$L$28 &lt;= 21), J26 = AO25), AO25, 100)</f>
        <v>20</v>
      </c>
      <c r="L26" s="26">
        <f>IF(OR(AND('Information Technology'!$L$28 &gt;= 22, 'Information Technology'!$L$28 &lt;= 24), K26 = AO25), AO25, 100)</f>
        <v>20</v>
      </c>
      <c r="M26" s="26">
        <f>IF(OR(AND('Information Technology'!$L$28 &gt;= 25, 'Information Technology'!$L$28 &lt;= 27), L26 = AO25), AO25, 100)</f>
        <v>20</v>
      </c>
      <c r="N26" s="26">
        <f>IF(OR(AND('Information Technology'!$L$28 &gt;= 28, 'Information Technology'!$L$28 &lt;= 30), M26 = AO25), AO25, 100)</f>
        <v>20</v>
      </c>
      <c r="O26" s="26">
        <f>IF(OR(AND('Information Technology'!$L$28 &gt;= 31, 'Information Technology'!$L$28 &lt;= 33), N26 = AO25), AO25, 100)</f>
        <v>20</v>
      </c>
      <c r="P26" s="26">
        <f>IF(OR(AND('Information Technology'!$L$28 &gt;= 34, 'Information Technology'!$L$28 &lt;= 36), O26 = AO25), AO25, 100)</f>
        <v>20</v>
      </c>
      <c r="Q26" s="26">
        <f>IF(OR(AND('Information Technology'!$L$28 &gt;= 37, 'Information Technology'!$L$28 &lt;= 39), P26 = AO25), AO25, 100)</f>
        <v>20</v>
      </c>
      <c r="R26" s="26">
        <f>IF(OR(AND('Information Technology'!$L$28 &gt;= 40, 'Information Technology'!$L$28 &lt;= 42), Q26 = AO25), AO25, 100)</f>
        <v>20</v>
      </c>
      <c r="S26" s="26">
        <f>IF(OR(AND('Information Technology'!$L$28 &gt;= 43, 'Information Technology'!$L$28 &lt;= 45), R26 = AO25), AO25, 100)</f>
        <v>20</v>
      </c>
      <c r="T26" s="26">
        <f>IF(OR(AND('Information Technology'!$L$28 &gt;= 46, 'Information Technology'!$L$28 &lt;= 48), S26 = AO25), AO25, 100)</f>
        <v>20</v>
      </c>
      <c r="U26" s="26">
        <f>IF(OR(AND('Information Technology'!$L$28 &gt;= 49, 'Information Technology'!$L$28 &lt;= 51), T26 = AO25), AO25, 100)</f>
        <v>20</v>
      </c>
      <c r="V26" s="26">
        <f>IF(OR(AND('Information Technology'!$L$28 &gt;= 52, 'Information Technology'!$L$28 &lt;= 54), U26 = AO25), AO25, 100)</f>
        <v>20</v>
      </c>
      <c r="W26" s="26">
        <f>IF(OR(AND('Information Technology'!$L$28 &gt;=55,'Information Technology'!$L$28&lt;=57),V26=AO25),AO25,100)</f>
        <v>20</v>
      </c>
      <c r="X26" s="26">
        <f>IF(OR(AND('Information Technology'!$L$28 &gt;= 58, 'Information Technology'!$L$28 &lt;= 60), W26 = AO25), AO25, 100)</f>
        <v>20</v>
      </c>
      <c r="Y26" s="26">
        <f>IF(OR(AND('Information Technology'!$L$28 &gt;= 61, 'Information Technology'!$L$28 &lt;= 63), X26 = AO25), AO25, 100)</f>
        <v>20</v>
      </c>
      <c r="Z26" s="26">
        <f>IF(OR(AND('Information Technology'!$L$28 &gt;= 64, 'Information Technology'!$L$28 &lt;= 66), Y26 = AO25), AO25, 100)</f>
        <v>20</v>
      </c>
      <c r="AA26" s="26">
        <f>IF(OR(AND('Information Technology'!$L$28 &gt;= 67, 'Information Technology'!$L$28 &lt;= 69), Z26 = AO25), AO25, 100)</f>
        <v>20</v>
      </c>
      <c r="AB26" s="26">
        <f>IF($AZ$27 &gt; AB$25, $AO$25, 100)</f>
        <v>100</v>
      </c>
      <c r="AC26" s="26">
        <f t="shared" ref="AC26:AJ27" si="5">IF($AZ$27 &gt; AC$25, $AO$25, 100)</f>
        <v>100</v>
      </c>
      <c r="AD26" s="26">
        <f t="shared" si="5"/>
        <v>100</v>
      </c>
      <c r="AE26" s="26">
        <f t="shared" si="5"/>
        <v>100</v>
      </c>
      <c r="AF26" s="26">
        <f t="shared" si="5"/>
        <v>100</v>
      </c>
      <c r="AG26" s="26">
        <f t="shared" si="5"/>
        <v>100</v>
      </c>
      <c r="AH26" s="26">
        <f t="shared" si="5"/>
        <v>100</v>
      </c>
      <c r="AI26" s="26">
        <f t="shared" si="5"/>
        <v>100</v>
      </c>
      <c r="AJ26" s="26">
        <f t="shared" si="5"/>
        <v>100</v>
      </c>
      <c r="AN26" s="11" t="s">
        <v>18</v>
      </c>
      <c r="AO26" s="4">
        <f>100-AT25</f>
        <v>100</v>
      </c>
      <c r="AQ26" s="23">
        <v>0</v>
      </c>
      <c r="AR26">
        <v>0</v>
      </c>
      <c r="AT26" s="23">
        <v>0</v>
      </c>
      <c r="AU26">
        <v>0</v>
      </c>
      <c r="AW26" s="83"/>
      <c r="AX26" s="83"/>
      <c r="AY26" s="83"/>
      <c r="AZ26" s="83"/>
    </row>
    <row r="27" spans="1:52" x14ac:dyDescent="0.35">
      <c r="A27" s="94"/>
      <c r="B27" s="37" t="s">
        <v>71</v>
      </c>
      <c r="C27" s="25"/>
      <c r="D27" s="26">
        <v>100</v>
      </c>
      <c r="E27" s="26">
        <f>IF('Information Technology'!L43 &gt; E25, $AO$26, $AO$25)</f>
        <v>100</v>
      </c>
      <c r="F27" s="26">
        <f>IF('Information Technology'!$L$43 &gt; F25, $AO$26, $AO$25)</f>
        <v>20</v>
      </c>
      <c r="G27" s="26">
        <f>IF('Information Technology'!$L$43 &gt; G25, $AO$26, $AO$25)</f>
        <v>20</v>
      </c>
      <c r="H27" s="26">
        <f>IF('Information Technology'!$L$43 &gt; H25, $AO$26, $AO$25)</f>
        <v>20</v>
      </c>
      <c r="I27" s="26">
        <f>IF('Information Technology'!$L$43 &gt; I25, $AO$26, $AO$25)</f>
        <v>20</v>
      </c>
      <c r="J27" s="26">
        <f>IF('Information Technology'!$L$43 &gt; J25, $AO$26, $AO$25)</f>
        <v>20</v>
      </c>
      <c r="K27" s="26">
        <f>IF('Information Technology'!$L$43 &gt; K25, $AO$26, $AO$25)</f>
        <v>20</v>
      </c>
      <c r="L27" s="26">
        <f>IF('Information Technology'!$L$43 &gt; L25, $AO$26, $AO$25)</f>
        <v>20</v>
      </c>
      <c r="M27" s="26">
        <f>IF('Information Technology'!$L$43 &gt; M25, $AO$26, $AO$25)</f>
        <v>20</v>
      </c>
      <c r="N27" s="26">
        <f>IF('Information Technology'!$L$43 &gt; N25, $AO$26, $AO$25)</f>
        <v>20</v>
      </c>
      <c r="O27" s="26">
        <f>IF('Information Technology'!$L$43 &gt; O25, $AO$26, $AO$25)</f>
        <v>20</v>
      </c>
      <c r="P27" s="26">
        <f>IF('Information Technology'!$L$43 &gt; P25, $AO$26, $AO$25)</f>
        <v>20</v>
      </c>
      <c r="Q27" s="26">
        <f>IF('Information Technology'!$L$43 &gt; Q25, $AO$26, $AO$25)</f>
        <v>20</v>
      </c>
      <c r="R27" s="26">
        <f>IF('Information Technology'!$L$43 &gt; R25, $AO$26, $AO$25)</f>
        <v>20</v>
      </c>
      <c r="S27" s="26">
        <f>IF('Information Technology'!$L$43 &gt; S25, $AO$26, $AO$25)</f>
        <v>20</v>
      </c>
      <c r="T27" s="26">
        <f>IF('Information Technology'!$L$43 &gt; T25, $AO$26, $AO$25)</f>
        <v>20</v>
      </c>
      <c r="U27" s="26">
        <f>IF('Information Technology'!$L$43 &gt; U25, $AO$26, $AO$25)</f>
        <v>20</v>
      </c>
      <c r="V27" s="26">
        <f>IF('Information Technology'!$L$43 &gt; V25, $AO$26, $AO$25)</f>
        <v>20</v>
      </c>
      <c r="W27" s="26">
        <f>IF('Information Technology'!$L$43 &gt; W25, $AO$26, $AO$25)</f>
        <v>20</v>
      </c>
      <c r="X27" s="26">
        <f>IF('Information Technology'!$L$43 &gt; X25, $AO$26, $AO$25)</f>
        <v>20</v>
      </c>
      <c r="Y27" s="26">
        <f>IF('Information Technology'!$L$43 &gt; Y25, $AO$26, $AO$25)</f>
        <v>20</v>
      </c>
      <c r="Z27" s="26">
        <f>IF('Information Technology'!$L$43 &gt; Z25, $AO$26, $AO$25)</f>
        <v>20</v>
      </c>
      <c r="AA27" s="26">
        <f>IF('Information Technology'!$L$43 &gt; AA25, $AO$26, $AO$25)</f>
        <v>20</v>
      </c>
      <c r="AB27" s="26">
        <f>IF($AZ$27 &gt; AB$25, $AO$25, 100)</f>
        <v>100</v>
      </c>
      <c r="AC27" s="26">
        <f t="shared" si="5"/>
        <v>100</v>
      </c>
      <c r="AD27" s="26">
        <f t="shared" si="5"/>
        <v>100</v>
      </c>
      <c r="AE27" s="26">
        <f t="shared" si="5"/>
        <v>100</v>
      </c>
      <c r="AF27" s="26">
        <f t="shared" si="5"/>
        <v>100</v>
      </c>
      <c r="AG27" s="26">
        <f t="shared" si="5"/>
        <v>100</v>
      </c>
      <c r="AH27" s="26">
        <f t="shared" si="5"/>
        <v>100</v>
      </c>
      <c r="AI27" s="26">
        <f t="shared" si="5"/>
        <v>100</v>
      </c>
      <c r="AJ27" s="26">
        <f t="shared" si="5"/>
        <v>100</v>
      </c>
      <c r="AQ27" s="23">
        <v>0</v>
      </c>
      <c r="AR27">
        <v>0</v>
      </c>
      <c r="AT27" s="23">
        <v>0</v>
      </c>
      <c r="AU27">
        <v>0</v>
      </c>
      <c r="AY27" s="38" t="s">
        <v>75</v>
      </c>
      <c r="AZ27" s="4">
        <f>IF('Information Technology'!L55 &gt; 1, 'Information Technology'!L55 + 72, 72)</f>
        <v>72</v>
      </c>
    </row>
    <row r="28" spans="1:52" ht="15" thickBot="1" x14ac:dyDescent="0.4">
      <c r="A28" s="96"/>
      <c r="B28" s="33"/>
    </row>
    <row r="30" spans="1:52" ht="15" thickBot="1" x14ac:dyDescent="0.4">
      <c r="AT30" s="2"/>
    </row>
    <row r="31" spans="1:52" x14ac:dyDescent="0.35">
      <c r="A31" s="93" t="s">
        <v>30</v>
      </c>
    </row>
    <row r="32" spans="1:52" x14ac:dyDescent="0.35">
      <c r="A32" s="94"/>
      <c r="B32" s="36"/>
      <c r="C32" s="27" t="s">
        <v>4</v>
      </c>
      <c r="D32" s="28">
        <v>0</v>
      </c>
      <c r="E32" s="28">
        <v>3</v>
      </c>
      <c r="F32" s="28">
        <v>6</v>
      </c>
      <c r="G32" s="28">
        <v>9</v>
      </c>
      <c r="H32" s="28">
        <v>12</v>
      </c>
      <c r="I32" s="28">
        <v>15</v>
      </c>
      <c r="J32" s="28">
        <v>18</v>
      </c>
      <c r="K32" s="28">
        <v>21</v>
      </c>
      <c r="L32" s="28">
        <v>24</v>
      </c>
      <c r="M32" s="28">
        <v>27</v>
      </c>
      <c r="N32" s="28">
        <v>30</v>
      </c>
      <c r="O32" s="28">
        <v>33</v>
      </c>
      <c r="P32" s="28">
        <v>36</v>
      </c>
      <c r="Q32" s="28">
        <v>39</v>
      </c>
      <c r="R32" s="28">
        <v>42</v>
      </c>
      <c r="S32" s="28">
        <v>45</v>
      </c>
      <c r="T32" s="28">
        <v>48</v>
      </c>
      <c r="U32" s="28">
        <v>51</v>
      </c>
      <c r="V32" s="28">
        <v>54</v>
      </c>
      <c r="W32" s="28">
        <v>57</v>
      </c>
      <c r="X32" s="28">
        <v>60</v>
      </c>
      <c r="Y32" s="28">
        <v>63</v>
      </c>
      <c r="Z32" s="28">
        <v>66</v>
      </c>
      <c r="AA32" s="28">
        <v>69</v>
      </c>
      <c r="AB32" s="28">
        <v>72</v>
      </c>
      <c r="AC32" s="28">
        <v>75</v>
      </c>
      <c r="AD32" s="28">
        <v>78</v>
      </c>
      <c r="AE32" s="28">
        <v>81</v>
      </c>
      <c r="AF32" s="28">
        <v>84</v>
      </c>
      <c r="AG32" s="28">
        <v>87</v>
      </c>
      <c r="AH32" s="28">
        <v>90</v>
      </c>
      <c r="AI32" s="28">
        <v>93</v>
      </c>
      <c r="AJ32" s="28">
        <v>96</v>
      </c>
      <c r="AN32" s="11" t="s">
        <v>17</v>
      </c>
      <c r="AO32" s="4">
        <f>100-AQ32</f>
        <v>0</v>
      </c>
      <c r="AQ32" s="4" cm="1">
        <f t="array" ref="AQ32:AR34">(Communication!L32:M34)/100%*(100)</f>
        <v>100</v>
      </c>
      <c r="AR32">
        <v>0</v>
      </c>
      <c r="AT32" cm="1">
        <f t="array" ref="AT32:AU34">(Communication!L49:M51)/100%*(100)</f>
        <v>0</v>
      </c>
      <c r="AU32">
        <v>0</v>
      </c>
      <c r="AW32" s="83" t="s">
        <v>74</v>
      </c>
      <c r="AX32" s="83"/>
      <c r="AY32" s="83"/>
      <c r="AZ32" s="83"/>
    </row>
    <row r="33" spans="1:52" x14ac:dyDescent="0.35">
      <c r="A33" s="94"/>
      <c r="B33" s="40" t="s">
        <v>67</v>
      </c>
      <c r="C33" s="34"/>
      <c r="D33" s="26">
        <v>100</v>
      </c>
      <c r="E33" s="26">
        <f>IF(OR(AND(Communication!L28 &gt;= 1, Communication!L28 &lt;= 3), D33 = AO32), AO32, 100)</f>
        <v>0</v>
      </c>
      <c r="F33" s="26">
        <f>IF(OR(AND(Communication!$L$28 &gt;= 4, Communication!$L$28 &lt;= 6), E33 = AO32), AO32, 100)</f>
        <v>0</v>
      </c>
      <c r="G33" s="26">
        <f>IF(OR(AND(Communication!$L$28&gt;=7, Communication!$L$28&lt;=9),F33= AO32),AO32,100)</f>
        <v>0</v>
      </c>
      <c r="H33" s="26">
        <f>IF(OR(AND(Communication!$L$28 &gt;= 10, Communication!$L$28 &lt;= 12), G33 = AO32), AO32, 100)</f>
        <v>0</v>
      </c>
      <c r="I33" s="26">
        <f>IF(OR(AND(Communication!$L$28 &gt;= 13, Communication!$L$28 &lt;= 15), H33 = AO32), AO32, 100)</f>
        <v>0</v>
      </c>
      <c r="J33" s="26">
        <f>IF(OR(AND(Communication!$L$28 &gt;= 16, Communication!$L$28 &lt;= 18), I33 = AO32), AO32, 100)</f>
        <v>0</v>
      </c>
      <c r="K33" s="26">
        <f>IF(OR(AND(Communication!$L$28 &gt;= 19, Communication!$L$28 &lt;= 21), J33 = AO32), AO32, 100)</f>
        <v>0</v>
      </c>
      <c r="L33" s="26">
        <f>IF(OR(AND(Communication!$L$28 &gt;= 22, Communication!$L$28 &lt;= 24), K33 = AO32), AO32, 100)</f>
        <v>0</v>
      </c>
      <c r="M33" s="26">
        <f>IF(OR(AND(Communication!$L$28 &gt;= 25, Communication!$L$28 &lt;= 27), L33 = AO32), AO32, 100)</f>
        <v>0</v>
      </c>
      <c r="N33" s="26">
        <f>IF(OR(AND(Communication!$L$28 &gt;= 28, Communication!$L$28 &lt;= 30), M33 = AO32), AO32, 100)</f>
        <v>0</v>
      </c>
      <c r="O33" s="26">
        <f>IF(OR(AND(Communication!$L$28 &gt;= 31, Communication!$L$28 &lt;= 33), N33 = AO32), AO32, 100)</f>
        <v>0</v>
      </c>
      <c r="P33" s="26">
        <f>IF(OR(AND(Communication!$L$28 &gt;= 34, Communication!$L$28 &lt;= 36), O33 = AO32), AO32, 100)</f>
        <v>0</v>
      </c>
      <c r="Q33" s="26">
        <f>IF(OR(AND(Communication!$L$28 &gt;= 37, Communication!$L$28 &lt;= 39), P33 = AO32), AO32, 100)</f>
        <v>0</v>
      </c>
      <c r="R33" s="26">
        <f>IF(OR(AND(Communication!$L$28 &gt;= 40, Communication!$L$28 &lt;= 42), Q33 = AO32), AO32, 100)</f>
        <v>0</v>
      </c>
      <c r="S33" s="26">
        <f>IF(OR(AND(Communication!$L$28 &gt;= 43, Communication!$L$28 &lt;= 45), R33 = AO32), AO32, 100)</f>
        <v>0</v>
      </c>
      <c r="T33" s="26">
        <f>IF(OR(AND(Communication!$L$28 &gt;= 46, Communication!$L$28 &lt;= 48), S33 = AO32), AO32, 100)</f>
        <v>0</v>
      </c>
      <c r="U33" s="26">
        <f>IF(OR(AND(Communication!$L$28 &gt;= 49, Communication!$L$28 &lt;= 51), T33 = AO32), AO32, 100)</f>
        <v>0</v>
      </c>
      <c r="V33" s="26">
        <f>IF(OR(AND(Communication!$L$28 &gt;= 52, Communication!$L$28 &lt;= 54), U33 = AO32), AO32, 100)</f>
        <v>0</v>
      </c>
      <c r="W33" s="26">
        <f>IF(OR(AND(Communication!$L$28 &gt;=55,Communication!$L$28&lt;=57),V33=AO32),AO32,100)</f>
        <v>0</v>
      </c>
      <c r="X33" s="26">
        <f>IF(OR(AND(Communication!$L$28 &gt;= 58, Communication!$L$28 &lt;= 60), W33 = AO32), AO32, 100)</f>
        <v>0</v>
      </c>
      <c r="Y33" s="26">
        <f>IF(OR(AND(Communication!$L$28 &gt;= 61, Communication!$L$28 &lt;= 63), X33 = AO32), AO32, 100)</f>
        <v>0</v>
      </c>
      <c r="Z33" s="26">
        <f>IF(OR(AND(Communication!$L$28 &gt;= 64, Communication!$L$28 &lt;= 66), Y33 = AO32), AO32, 100)</f>
        <v>0</v>
      </c>
      <c r="AA33" s="26">
        <f>IF(OR(AND(Communication!$L$28 &gt;= 67, Communication!$L$28 &lt;= 69), Z33 = AO32), AO32, 100)</f>
        <v>0</v>
      </c>
      <c r="AB33" s="26">
        <f>IF($AZ$34 &gt; AB$32, $AO$32, 100)</f>
        <v>100</v>
      </c>
      <c r="AC33" s="26">
        <f t="shared" ref="AC33:AJ34" si="6">IF($AZ$34 &gt; AC$32, $AO$32, 100)</f>
        <v>100</v>
      </c>
      <c r="AD33" s="26">
        <f t="shared" si="6"/>
        <v>100</v>
      </c>
      <c r="AE33" s="26">
        <f t="shared" si="6"/>
        <v>100</v>
      </c>
      <c r="AF33" s="26">
        <f t="shared" si="6"/>
        <v>100</v>
      </c>
      <c r="AG33" s="26">
        <f t="shared" si="6"/>
        <v>100</v>
      </c>
      <c r="AH33" s="26">
        <f t="shared" si="6"/>
        <v>100</v>
      </c>
      <c r="AI33" s="26">
        <f t="shared" si="6"/>
        <v>100</v>
      </c>
      <c r="AJ33" s="26">
        <f t="shared" si="6"/>
        <v>100</v>
      </c>
      <c r="AN33" s="11" t="s">
        <v>18</v>
      </c>
      <c r="AO33" s="4">
        <f>100-AT32</f>
        <v>100</v>
      </c>
      <c r="AQ33" s="23">
        <v>0</v>
      </c>
      <c r="AR33">
        <v>0</v>
      </c>
      <c r="AT33">
        <v>0</v>
      </c>
      <c r="AU33">
        <v>0</v>
      </c>
      <c r="AW33" s="83"/>
      <c r="AX33" s="83"/>
      <c r="AY33" s="83"/>
      <c r="AZ33" s="83"/>
    </row>
    <row r="34" spans="1:52" x14ac:dyDescent="0.35">
      <c r="A34" s="94"/>
      <c r="B34" s="40" t="s">
        <v>68</v>
      </c>
      <c r="C34" s="34"/>
      <c r="D34" s="26">
        <v>100</v>
      </c>
      <c r="E34" s="26">
        <f>IF(Communication!$L$43 &gt; E32, $AO$33, $AO$32)</f>
        <v>0</v>
      </c>
      <c r="F34" s="26">
        <f>IF(Communication!$L$43 &gt; F32, $AO$33, $AO$32)</f>
        <v>0</v>
      </c>
      <c r="G34" s="26">
        <f>IF(Communication!$L$43 &gt; G32, $AO$33, $AO$32)</f>
        <v>0</v>
      </c>
      <c r="H34" s="26">
        <f>IF(Communication!$L$43 &gt; H32, $AO$33, $AO$32)</f>
        <v>0</v>
      </c>
      <c r="I34" s="26">
        <f>IF(Communication!$L$43 &gt; I32, $AO$33, $AO$32)</f>
        <v>0</v>
      </c>
      <c r="J34" s="26">
        <f>IF(Communication!$L$43 &gt; J32, $AO$33, $AO$32)</f>
        <v>0</v>
      </c>
      <c r="K34" s="26">
        <f>IF(Communication!$L$43 &gt; K32, $AO$33, $AO$32)</f>
        <v>0</v>
      </c>
      <c r="L34" s="26">
        <f>IF(Communication!$L$43 &gt; L32, $AO$33, $AO$32)</f>
        <v>0</v>
      </c>
      <c r="M34" s="26">
        <f>IF(Communication!$L$43 &gt; M32, $AO$33, $AO$32)</f>
        <v>0</v>
      </c>
      <c r="N34" s="26">
        <f>IF(Communication!$L$43 &gt; N32, $AO$33, $AO$32)</f>
        <v>0</v>
      </c>
      <c r="O34" s="26">
        <f>IF(Communication!$L$43 &gt; O32, $AO$33, $AO$32)</f>
        <v>0</v>
      </c>
      <c r="P34" s="26">
        <f>IF(Communication!$L$43 &gt; P32, $AO$33, $AO$32)</f>
        <v>0</v>
      </c>
      <c r="Q34" s="26">
        <f>IF(Communication!$L$43 &gt; Q32, $AO$33, $AO$32)</f>
        <v>0</v>
      </c>
      <c r="R34" s="26">
        <f>IF(Communication!$L$43 &gt; R32, $AO$33, $AO$32)</f>
        <v>0</v>
      </c>
      <c r="S34" s="26">
        <f>IF(Communication!$L$43 &gt; S32, $AO$33, $AO$32)</f>
        <v>0</v>
      </c>
      <c r="T34" s="26">
        <f>IF(Communication!$L$43 &gt; T32, $AO$33, $AO$32)</f>
        <v>0</v>
      </c>
      <c r="U34" s="26">
        <f>IF(Communication!$L$43 &gt; U32, $AO$33, $AO$32)</f>
        <v>0</v>
      </c>
      <c r="V34" s="26">
        <f>IF(Communication!$L$43 &gt; V32, $AO$33, $AO$32)</f>
        <v>0</v>
      </c>
      <c r="W34" s="26">
        <f>IF(Communication!$L$43 &gt; W32, $AO$33, $AO$32)</f>
        <v>0</v>
      </c>
      <c r="X34" s="26">
        <f>IF(Communication!$L$43 &gt; X32, $AO$33, $AO$32)</f>
        <v>0</v>
      </c>
      <c r="Y34" s="26">
        <f>IF(Communication!$L$43 &gt; Y32, $AO$33, $AO$32)</f>
        <v>0</v>
      </c>
      <c r="Z34" s="26">
        <f>IF(Communication!$L$43 &gt; Z32, $AO$33, $AO$32)</f>
        <v>0</v>
      </c>
      <c r="AA34" s="26">
        <f>IF(Communication!$L$43 &gt; AA32, $AO$33, $AO$32)</f>
        <v>0</v>
      </c>
      <c r="AB34" s="26">
        <f>IF($AZ$34 &gt; AB$32, $AO$32, 100)</f>
        <v>100</v>
      </c>
      <c r="AC34" s="26">
        <f t="shared" si="6"/>
        <v>100</v>
      </c>
      <c r="AD34" s="26">
        <f t="shared" si="6"/>
        <v>100</v>
      </c>
      <c r="AE34" s="26">
        <f t="shared" si="6"/>
        <v>100</v>
      </c>
      <c r="AF34" s="26">
        <f t="shared" si="6"/>
        <v>100</v>
      </c>
      <c r="AG34" s="26">
        <f t="shared" si="6"/>
        <v>100</v>
      </c>
      <c r="AH34" s="26">
        <f t="shared" si="6"/>
        <v>100</v>
      </c>
      <c r="AI34" s="26">
        <f t="shared" si="6"/>
        <v>100</v>
      </c>
      <c r="AJ34" s="26">
        <f t="shared" si="6"/>
        <v>100</v>
      </c>
      <c r="AQ34" s="23">
        <v>0</v>
      </c>
      <c r="AR34">
        <v>0</v>
      </c>
      <c r="AT34" s="24">
        <v>0</v>
      </c>
      <c r="AU34">
        <v>0</v>
      </c>
      <c r="AY34" s="38" t="s">
        <v>75</v>
      </c>
      <c r="AZ34">
        <f>IF(Communication!L55 &gt; 1, Communication!L55 + 72, 72)</f>
        <v>72</v>
      </c>
    </row>
    <row r="35" spans="1:52" ht="15" thickBot="1" x14ac:dyDescent="0.4">
      <c r="A35" s="96"/>
      <c r="B35" s="29"/>
    </row>
    <row r="36" spans="1:52" x14ac:dyDescent="0.35">
      <c r="B36" s="36"/>
      <c r="AB36" t="s">
        <v>66</v>
      </c>
    </row>
    <row r="37" spans="1:52" ht="15" thickBot="1" x14ac:dyDescent="0.4"/>
    <row r="38" spans="1:52" x14ac:dyDescent="0.35">
      <c r="A38" s="93" t="s">
        <v>32</v>
      </c>
    </row>
    <row r="39" spans="1:52" x14ac:dyDescent="0.35">
      <c r="A39" s="94"/>
      <c r="C39" s="27" t="s">
        <v>4</v>
      </c>
      <c r="D39" s="28">
        <v>0</v>
      </c>
      <c r="E39" s="28">
        <v>3</v>
      </c>
      <c r="F39" s="28">
        <v>6</v>
      </c>
      <c r="G39" s="28">
        <v>9</v>
      </c>
      <c r="H39" s="28">
        <v>12</v>
      </c>
      <c r="I39" s="28">
        <v>15</v>
      </c>
      <c r="J39" s="28">
        <v>18</v>
      </c>
      <c r="K39" s="28">
        <v>21</v>
      </c>
      <c r="L39" s="28">
        <v>24</v>
      </c>
      <c r="M39" s="28">
        <v>27</v>
      </c>
      <c r="N39" s="28">
        <v>30</v>
      </c>
      <c r="O39" s="28">
        <v>33</v>
      </c>
      <c r="P39" s="28">
        <v>36</v>
      </c>
      <c r="Q39" s="28">
        <v>39</v>
      </c>
      <c r="R39" s="28">
        <v>42</v>
      </c>
      <c r="S39" s="28">
        <v>45</v>
      </c>
      <c r="T39" s="28">
        <v>48</v>
      </c>
      <c r="U39" s="28">
        <v>51</v>
      </c>
      <c r="V39" s="28">
        <v>54</v>
      </c>
      <c r="W39" s="28">
        <v>57</v>
      </c>
      <c r="X39" s="28">
        <v>60</v>
      </c>
      <c r="Y39" s="28">
        <v>63</v>
      </c>
      <c r="Z39" s="28">
        <v>66</v>
      </c>
      <c r="AA39" s="28">
        <v>69</v>
      </c>
      <c r="AB39" s="28">
        <v>72</v>
      </c>
      <c r="AC39" s="28">
        <v>75</v>
      </c>
      <c r="AD39" s="28">
        <v>78</v>
      </c>
      <c r="AE39" s="28">
        <v>81</v>
      </c>
      <c r="AF39" s="28">
        <v>84</v>
      </c>
      <c r="AG39" s="28">
        <v>87</v>
      </c>
      <c r="AH39" s="28">
        <v>90</v>
      </c>
      <c r="AI39" s="28">
        <v>93</v>
      </c>
      <c r="AJ39" s="28">
        <v>96</v>
      </c>
      <c r="AN39" s="11" t="s">
        <v>17</v>
      </c>
      <c r="AO39" s="4">
        <f>100-AQ39</f>
        <v>100</v>
      </c>
      <c r="AQ39" s="4" cm="1">
        <f t="array" ref="AQ39:AR41">('Critical Products'!L32:M34)/100%*(100)</f>
        <v>0</v>
      </c>
      <c r="AR39">
        <v>0</v>
      </c>
      <c r="AT39" cm="1">
        <f t="array" ref="AT39:AU41" xml:space="preserve"> ('Critical Products'!L48:M50)/100%*(100)</f>
        <v>0</v>
      </c>
      <c r="AU39">
        <v>0</v>
      </c>
      <c r="AW39" s="83" t="s">
        <v>74</v>
      </c>
      <c r="AX39" s="83"/>
      <c r="AY39" s="83"/>
      <c r="AZ39" s="83"/>
    </row>
    <row r="40" spans="1:52" x14ac:dyDescent="0.35">
      <c r="A40" s="95"/>
      <c r="B40" s="39" t="s">
        <v>72</v>
      </c>
      <c r="C40" s="25"/>
      <c r="D40" s="26">
        <v>100</v>
      </c>
      <c r="E40" s="26">
        <f>IF(OR(AND('Critical Products'!L28 &gt;= 1, 'Critical Products'!L28 &lt;= 3), D40 = AO39), AO39, 100)</f>
        <v>100</v>
      </c>
      <c r="F40" s="26">
        <f>IF(OR(AND('Critical Products'!$L$28 &gt;= 4, 'Critical Products'!$L$28 &lt;= 6), E40 = AO39), AO39, 100)</f>
        <v>100</v>
      </c>
      <c r="G40" s="26">
        <f>IF(OR(AND('Critical Products'!$L$28&gt;=7, 'Critical Products'!$L$28&lt;=9),F40= AO39),AO39,100)</f>
        <v>100</v>
      </c>
      <c r="H40" s="26">
        <f>IF(OR(AND('Critical Products'!$L$28 &gt;= 10, 'Critical Products'!$L$28 &lt;= 12), G40 = AO39), AO39, 100)</f>
        <v>100</v>
      </c>
      <c r="I40" s="26">
        <f>IF(OR(AND('Critical Products'!$L$28 &gt;= 13, 'Critical Products'!$L$28 &lt;= 15), H40 = AO39), AO39, 100)</f>
        <v>100</v>
      </c>
      <c r="J40" s="26">
        <f>IF(OR(AND('Critical Products'!$L$28 &gt;= 16, 'Critical Products'!$L$28 &lt;= 18), I40 = AO39), AO39, 100)</f>
        <v>100</v>
      </c>
      <c r="K40" s="26">
        <f>IF(OR(AND('Critical Products'!$L$28 &gt;= 19, 'Critical Products'!$L$28 &lt;= 21), J40 = AO39), AO39, 100)</f>
        <v>100</v>
      </c>
      <c r="L40" s="26">
        <f>IF(OR(AND('Critical Products'!$L$28 &gt;= 22, 'Critical Products'!$L$28 &lt;= 24), K40 = AO39), AO39, 100)</f>
        <v>100</v>
      </c>
      <c r="M40" s="26">
        <f>IF(OR(AND('Critical Products'!$L$28 &gt;= 25, 'Critical Products'!$L$28 &lt;= 27), L40 = AO39), AO39, 100)</f>
        <v>100</v>
      </c>
      <c r="N40" s="26">
        <f>IF(OR(AND('Critical Products'!$L$28 &gt;= 28, 'Critical Products'!$L$28 &lt;= 30), M40 = AO39), AO39, 100)</f>
        <v>100</v>
      </c>
      <c r="O40" s="26">
        <f>IF(OR(AND('Critical Products'!$L$28 &gt;= 31, 'Critical Products'!$L$28 &lt;= 33), N40 = AO39), AO39, 100)</f>
        <v>100</v>
      </c>
      <c r="P40" s="26">
        <f>IF(OR(AND('Critical Products'!$L$28 &gt;= 34, 'Critical Products'!$L$28 &lt;= 36), O40 = AO39), AO39, 100)</f>
        <v>100</v>
      </c>
      <c r="Q40" s="26">
        <f>IF(OR(AND('Critical Products'!$L$28 &gt;= 37, 'Critical Products'!$L$28 &lt;= 39), P40 = AO39), AO39, 100)</f>
        <v>100</v>
      </c>
      <c r="R40" s="26">
        <f>IF(OR(AND('Critical Products'!$L$28 &gt;= 40, 'Critical Products'!$L$28 &lt;= 42), Q40 = AO39), AO39, 100)</f>
        <v>100</v>
      </c>
      <c r="S40" s="26">
        <f>IF(OR(AND('Critical Products'!$L$28 &gt;= 43, 'Critical Products'!$L$28 &lt;= 45), R40 = AO39), AO39, 100)</f>
        <v>100</v>
      </c>
      <c r="T40" s="26">
        <f>IF(OR(AND('Critical Products'!$L$28 &gt;= 46, 'Critical Products'!$L$28 &lt;= 48), S40 = AO39), AO39, 100)</f>
        <v>100</v>
      </c>
      <c r="U40" s="26">
        <f>IF(OR(AND('Critical Products'!$L$28 &gt;= 49, 'Critical Products'!$L$28 &lt;= 51), T40 = AO39), AO39, 100)</f>
        <v>100</v>
      </c>
      <c r="V40" s="26">
        <f>IF(OR(AND('Critical Products'!$L$28 &gt;= 52, 'Critical Products'!$L$28 &lt;= 54), U40 = AO39), AO39, 100)</f>
        <v>100</v>
      </c>
      <c r="W40" s="26">
        <f>IF(OR(AND('Critical Products'!$L$28 &gt;=55,'Critical Products'!$L$28&lt;=57),V40=AO39),AO39,100)</f>
        <v>100</v>
      </c>
      <c r="X40" s="26">
        <f>IF(OR(AND('Critical Products'!$L$28 &gt;= 58, 'Critical Products'!$L$28 &lt;= 60), W40 = AO39), AO39, 100)</f>
        <v>100</v>
      </c>
      <c r="Y40" s="26">
        <f>IF(OR(AND('Critical Products'!$L$28 &gt;= 61, 'Critical Products'!$L$28 &lt;= 63), X40 = AO39), AO39, 100)</f>
        <v>100</v>
      </c>
      <c r="Z40" s="26">
        <f>IF(OR(AND('Critical Products'!$L$28 &gt;= 64, 'Critical Products'!$L$28 &lt;= 66), Y40 = AO39), AO39, 100)</f>
        <v>100</v>
      </c>
      <c r="AA40" s="26">
        <f>IF(OR(AND('Critical Products'!$L$28 &gt;= 67, 'Critical Products'!$L$28 &lt;= 69), Z40 = AO39), AO39, 100)</f>
        <v>100</v>
      </c>
      <c r="AB40" s="26">
        <f>IF($AZ$41 &gt; AB$39, $AO$39, 100)</f>
        <v>100</v>
      </c>
      <c r="AC40" s="26">
        <f t="shared" ref="AC40:AJ41" si="7">IF($AZ$41 &gt; AC$39, $AO$39, 100)</f>
        <v>100</v>
      </c>
      <c r="AD40" s="26">
        <f t="shared" si="7"/>
        <v>100</v>
      </c>
      <c r="AE40" s="26">
        <f t="shared" si="7"/>
        <v>100</v>
      </c>
      <c r="AF40" s="26">
        <f t="shared" si="7"/>
        <v>100</v>
      </c>
      <c r="AG40" s="26">
        <f t="shared" si="7"/>
        <v>100</v>
      </c>
      <c r="AH40" s="26">
        <f t="shared" si="7"/>
        <v>100</v>
      </c>
      <c r="AI40" s="26">
        <f t="shared" si="7"/>
        <v>100</v>
      </c>
      <c r="AJ40" s="26">
        <f t="shared" si="7"/>
        <v>100</v>
      </c>
      <c r="AN40" s="11" t="s">
        <v>18</v>
      </c>
      <c r="AO40" s="4">
        <f>100-AT39</f>
        <v>100</v>
      </c>
      <c r="AQ40" s="23">
        <v>0</v>
      </c>
      <c r="AR40">
        <v>0</v>
      </c>
      <c r="AT40">
        <v>0</v>
      </c>
      <c r="AU40">
        <v>0</v>
      </c>
      <c r="AW40" s="83"/>
      <c r="AX40" s="83"/>
      <c r="AY40" s="83"/>
      <c r="AZ40" s="83"/>
    </row>
    <row r="41" spans="1:52" x14ac:dyDescent="0.35">
      <c r="A41" s="95"/>
      <c r="B41" s="39" t="s">
        <v>76</v>
      </c>
      <c r="C41" s="25"/>
      <c r="D41" s="26">
        <v>100</v>
      </c>
      <c r="E41" s="26">
        <f>IF(Communication!$L$43 &gt; E39, $AO$40, $AO$39)</f>
        <v>100</v>
      </c>
      <c r="F41" s="26">
        <f>IF(Communication!$L$43 &gt; F39, $AO$40, $AO$39)</f>
        <v>100</v>
      </c>
      <c r="G41" s="26">
        <f>IF(Communication!$L$43 &gt; G39, $AO$40, $AO$39)</f>
        <v>100</v>
      </c>
      <c r="H41" s="26">
        <f>IF(Communication!$L$43 &gt; H39, $AO$40, $AO$39)</f>
        <v>100</v>
      </c>
      <c r="I41" s="26">
        <f>IF(Communication!$L$43 &gt; I39, $AO$40, $AO$39)</f>
        <v>100</v>
      </c>
      <c r="J41" s="26">
        <f>IF(Communication!$L$43 &gt; J39, $AO$40, $AO$39)</f>
        <v>100</v>
      </c>
      <c r="K41" s="26">
        <f>IF(Communication!$L$43 &gt; K39, $AO$40, $AO$39)</f>
        <v>100</v>
      </c>
      <c r="L41" s="26">
        <f>IF(Communication!$L$43 &gt; L39, $AO$40, $AO$39)</f>
        <v>100</v>
      </c>
      <c r="M41" s="26">
        <f>IF(Communication!$L$43 &gt; M39, $AO$40, $AO$39)</f>
        <v>100</v>
      </c>
      <c r="N41" s="26">
        <f>IF(Communication!$L$43 &gt; N39, $AO$40, $AO$39)</f>
        <v>100</v>
      </c>
      <c r="O41" s="26">
        <f>IF(Communication!$L$43 &gt; O39, $AO$40, $AO$39)</f>
        <v>100</v>
      </c>
      <c r="P41" s="26">
        <f>IF(Communication!$L$43 &gt; P39, $AO$40, $AO$39)</f>
        <v>100</v>
      </c>
      <c r="Q41" s="26">
        <f>IF(Communication!$L$43 &gt; Q39, $AO$40, $AO$39)</f>
        <v>100</v>
      </c>
      <c r="R41" s="26">
        <f>IF(Communication!$L$43 &gt; R39, $AO$40, $AO$39)</f>
        <v>100</v>
      </c>
      <c r="S41" s="26">
        <f>IF(Communication!$L$43 &gt; S39, $AO$40, $AO$39)</f>
        <v>100</v>
      </c>
      <c r="T41" s="26">
        <f>IF(Communication!$L$43 &gt; T39, $AO$40, $AO$39)</f>
        <v>100</v>
      </c>
      <c r="U41" s="26">
        <f>IF(Communication!$L$43 &gt; U39, $AO$40, $AO$39)</f>
        <v>100</v>
      </c>
      <c r="V41" s="26">
        <f>IF(Communication!$L$43 &gt; V39, $AO$40, $AO$39)</f>
        <v>100</v>
      </c>
      <c r="W41" s="26">
        <f>IF(Communication!$L$43 &gt; W39, $AO$40, $AO$39)</f>
        <v>100</v>
      </c>
      <c r="X41" s="26">
        <f>IF(Communication!$L$43 &gt; X39, $AO$40, $AO$39)</f>
        <v>100</v>
      </c>
      <c r="Y41" s="26">
        <f>IF(Communication!$L$43 &gt; Y39, $AO$40, $AO$39)</f>
        <v>100</v>
      </c>
      <c r="Z41" s="26">
        <f>IF(Communication!$L$43 &gt; Z39, $AO$40, $AO$39)</f>
        <v>100</v>
      </c>
      <c r="AA41" s="26">
        <f>IF(Communication!$L$43 &gt; AA39, $AO$40, $AO$39)</f>
        <v>100</v>
      </c>
      <c r="AB41" s="26">
        <f>IF($AZ$41 &gt; AB$39, $AO$39, 100)</f>
        <v>100</v>
      </c>
      <c r="AC41" s="26">
        <f t="shared" si="7"/>
        <v>100</v>
      </c>
      <c r="AD41" s="26">
        <f t="shared" si="7"/>
        <v>100</v>
      </c>
      <c r="AE41" s="26">
        <f t="shared" si="7"/>
        <v>100</v>
      </c>
      <c r="AF41" s="26">
        <f t="shared" si="7"/>
        <v>100</v>
      </c>
      <c r="AG41" s="26">
        <f t="shared" si="7"/>
        <v>100</v>
      </c>
      <c r="AH41" s="26">
        <f t="shared" si="7"/>
        <v>100</v>
      </c>
      <c r="AI41" s="26">
        <f t="shared" si="7"/>
        <v>100</v>
      </c>
      <c r="AJ41" s="26">
        <f t="shared" si="7"/>
        <v>100</v>
      </c>
      <c r="AQ41" s="23">
        <v>0</v>
      </c>
      <c r="AR41">
        <v>0</v>
      </c>
      <c r="AT41" s="24">
        <v>0</v>
      </c>
      <c r="AU41">
        <v>0</v>
      </c>
      <c r="AY41" s="38" t="s">
        <v>75</v>
      </c>
      <c r="AZ41">
        <f>IF('Critical Products'!L53 &gt; 1, 'Critical Products'!L53+ 72, 72)</f>
        <v>72</v>
      </c>
    </row>
    <row r="42" spans="1:52" ht="15" thickBot="1" x14ac:dyDescent="0.4">
      <c r="A42" s="96"/>
      <c r="B42" s="29"/>
    </row>
  </sheetData>
  <mergeCells count="13">
    <mergeCell ref="AW39:AZ40"/>
    <mergeCell ref="AM1:BA1"/>
    <mergeCell ref="A38:A42"/>
    <mergeCell ref="A3:A7"/>
    <mergeCell ref="A10:A14"/>
    <mergeCell ref="A17:A21"/>
    <mergeCell ref="A24:A28"/>
    <mergeCell ref="A31:A35"/>
    <mergeCell ref="AW11:AZ12"/>
    <mergeCell ref="AW4:AZ5"/>
    <mergeCell ref="AW18:AZ19"/>
    <mergeCell ref="AW25:AZ26"/>
    <mergeCell ref="AW32:AZ33"/>
  </mergeCells>
  <phoneticPr fontId="3"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781D8-2AD3-46AA-A220-012B5EDD1208}">
  <dimension ref="A1"/>
  <sheetViews>
    <sheetView workbookViewId="0">
      <selection activeCell="G9" sqref="G9"/>
    </sheetView>
  </sheetViews>
  <sheetFormatPr defaultRowHeight="14.5" x14ac:dyDescent="0.35"/>
  <sheetData/>
  <dataConsolid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Overview</vt:lpstr>
      <vt:lpstr>Asset Information</vt:lpstr>
      <vt:lpstr>Electric Power</vt:lpstr>
      <vt:lpstr>Communication</vt:lpstr>
      <vt:lpstr>Information Technology</vt:lpstr>
      <vt:lpstr>Critical Products</vt:lpstr>
      <vt:lpstr>Water</vt:lpstr>
      <vt:lpstr>Wastewater</vt:lpstr>
      <vt:lpstr>Formulas_Dont Delete</vt:lpstr>
      <vt:lpstr>Formulas_Dont Delete2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WILLIAMS, ZACHARY</dc:creator>
  <cp:lastModifiedBy>Williams, Zachary</cp:lastModifiedBy>
  <dcterms:created xsi:type="dcterms:W3CDTF">2023-08-22T15:00:51Z</dcterms:created>
  <dcterms:modified xsi:type="dcterms:W3CDTF">2026-02-04T19:26:23Z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3b2808d-fdcd-4b04-ae30-a55cfb76acbc_Enabled">
    <vt:lpwstr>true</vt:lpwstr>
  </property>
  <property fmtid="{D5CDD505-2E9C-101B-9397-08002B2CF9AE}" pid="3" name="MSIP_Label_f3b2808d-fdcd-4b04-ae30-a55cfb76acbc_SetDate">
    <vt:lpwstr>2025-04-01T17:27:32Z</vt:lpwstr>
  </property>
  <property fmtid="{D5CDD505-2E9C-101B-9397-08002B2CF9AE}" pid="4" name="MSIP_Label_f3b2808d-fdcd-4b04-ae30-a55cfb76acbc_Method">
    <vt:lpwstr>Privileged</vt:lpwstr>
  </property>
  <property fmtid="{D5CDD505-2E9C-101B-9397-08002B2CF9AE}" pid="5" name="MSIP_Label_f3b2808d-fdcd-4b04-ae30-a55cfb76acbc_Name">
    <vt:lpwstr>All Users (Unprotected)</vt:lpwstr>
  </property>
  <property fmtid="{D5CDD505-2E9C-101B-9397-08002B2CF9AE}" pid="6" name="MSIP_Label_f3b2808d-fdcd-4b04-ae30-a55cfb76acbc_SiteId">
    <vt:lpwstr>69c613d2-b051-4234-8ed1-fd530b70d5d3</vt:lpwstr>
  </property>
  <property fmtid="{D5CDD505-2E9C-101B-9397-08002B2CF9AE}" pid="7" name="MSIP_Label_f3b2808d-fdcd-4b04-ae30-a55cfb76acbc_ActionId">
    <vt:lpwstr>389297bf-4728-4e52-a44f-8439f8b47646</vt:lpwstr>
  </property>
  <property fmtid="{D5CDD505-2E9C-101B-9397-08002B2CF9AE}" pid="8" name="MSIP_Label_f3b2808d-fdcd-4b04-ae30-a55cfb76acbc_ContentBits">
    <vt:lpwstr>0</vt:lpwstr>
  </property>
</Properties>
</file>